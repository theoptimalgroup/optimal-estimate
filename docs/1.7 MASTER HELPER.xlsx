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autoCompressPictures="0" defaultThemeVersion="166925"/>
  <mc:AlternateContent xmlns:mc="http://schemas.openxmlformats.org/markup-compatibility/2006">
    <mc:Choice Requires="x15">
      <x15ac:absPath xmlns:x15ac="http://schemas.microsoft.com/office/spreadsheetml/2010/11/ac" url="https://theoptimalgroup.sharepoint.com/sites/OPTIMALFILES/Shared Documents/Files/Templates/MASTER HELPER/"/>
    </mc:Choice>
  </mc:AlternateContent>
  <xr:revisionPtr revIDLastSave="49" documentId="8_{D5C6FF63-269D-4135-80B8-C67794B6E73F}" xr6:coauthVersionLast="47" xr6:coauthVersionMax="47" xr10:uidLastSave="{44E23263-F497-42CC-80B5-EF8F09C00055}"/>
  <bookViews>
    <workbookView xWindow="-120" yWindow="-120" windowWidth="51840" windowHeight="21120" tabRatio="753" firstSheet="1" activeTab="3" xr2:uid="{00000000-000D-0000-FFFF-FFFF00000000}"/>
  </bookViews>
  <sheets>
    <sheet name="QUOTE CALCULATOR" sheetId="8" r:id="rId1"/>
    <sheet name="INTERNAL DELIVERY TOP 3 TRADES" sheetId="15" r:id="rId2"/>
    <sheet name="SUPPLY CHAIN" sheetId="10" r:id="rId3"/>
    <sheet name="SLA TABLE" sheetId="16" r:id="rId4"/>
    <sheet name="QUOTE STICKY NOTES" sheetId="11" r:id="rId5"/>
    <sheet name="OPTIMAL CLEANING PRICES" sheetId="19" r:id="rId6"/>
    <sheet name="HOMERUN CALL OUT CHARGES" sheetId="13" r:id="rId7"/>
    <sheet name="EXTERNAL DELIVERY CHECKER" sheetId="12" r:id="rId8"/>
  </sheets>
  <definedNames>
    <definedName name="Slicer_TRAD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2" i="8" l="1"/>
  <c r="P37" i="8"/>
  <c r="I37" i="8"/>
  <c r="C33" i="8"/>
  <c r="C37" i="8"/>
  <c r="Y59" i="8"/>
  <c r="Y60" i="8" s="1"/>
  <c r="P58" i="8"/>
  <c r="I58" i="8"/>
  <c r="C54" i="8"/>
  <c r="Z27" i="8"/>
  <c r="Q26" i="8"/>
  <c r="J26" i="8"/>
  <c r="D22" i="8"/>
  <c r="D8" i="12"/>
  <c r="C36" i="8"/>
  <c r="AT9" i="8"/>
  <c r="AT3" i="8"/>
  <c r="AQ17" i="8"/>
  <c r="AT17" i="8" s="1"/>
  <c r="AQ18" i="8"/>
  <c r="AT18" i="8" s="1"/>
  <c r="AQ3" i="8"/>
  <c r="AR3" i="8" s="1"/>
  <c r="BD2" i="8" s="1"/>
  <c r="AB19" i="8"/>
  <c r="AQ16" i="8"/>
  <c r="AR16" i="8" s="1"/>
  <c r="AQ9" i="8"/>
  <c r="AT10" i="8" s="1"/>
  <c r="AQ10" i="8"/>
  <c r="AR10" i="8" s="1"/>
  <c r="AQ11" i="8"/>
  <c r="AR11" i="8" s="1"/>
  <c r="AQ4" i="8"/>
  <c r="AR4" i="8" s="1"/>
  <c r="AQ5" i="8"/>
  <c r="AT5" i="8" s="1"/>
  <c r="AQ6" i="8"/>
  <c r="AT6" i="8" s="1"/>
  <c r="AQ7" i="8"/>
  <c r="AR7" i="8" s="1"/>
  <c r="AQ8" i="8"/>
  <c r="AR8" i="8" s="1"/>
  <c r="AQ12" i="8"/>
  <c r="AR12" i="8" s="1"/>
  <c r="AQ13" i="8"/>
  <c r="AR13" i="8" s="1"/>
  <c r="AQ14" i="8"/>
  <c r="AR14" i="8" s="1"/>
  <c r="AQ15" i="8"/>
  <c r="AR15" i="8" s="1"/>
  <c r="AT12" i="8"/>
  <c r="AT16" i="8"/>
  <c r="C50" i="8"/>
  <c r="E31" i="8" l="1"/>
  <c r="AR18" i="8"/>
  <c r="AR6" i="8"/>
  <c r="BD5" i="8" s="1"/>
  <c r="AR5" i="8"/>
  <c r="BD4" i="8" s="1"/>
  <c r="AR9" i="8"/>
  <c r="AR17" i="8"/>
  <c r="AB25" i="8"/>
  <c r="AA26" i="8" s="1"/>
  <c r="P59" i="8"/>
  <c r="S26" i="8"/>
  <c r="P41" i="8" s="1"/>
  <c r="T19" i="8"/>
  <c r="M19" i="8"/>
  <c r="T16" i="8"/>
  <c r="M16" i="8"/>
  <c r="P54" i="8"/>
  <c r="P46" i="8"/>
  <c r="P21" i="8"/>
  <c r="I59" i="8"/>
  <c r="C55" i="8"/>
  <c r="AB29" i="8"/>
  <c r="Y46" i="8" s="1"/>
  <c r="L26" i="8"/>
  <c r="I41" i="8" s="1"/>
  <c r="G12" i="12"/>
  <c r="I54" i="8"/>
  <c r="I46" i="8"/>
  <c r="I21" i="8"/>
  <c r="F15" i="8"/>
  <c r="Y53" i="8"/>
  <c r="Y51" i="8"/>
  <c r="Y50" i="8"/>
  <c r="Y49" i="8"/>
  <c r="Z30" i="8"/>
  <c r="J70" i="12"/>
  <c r="J69"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2" i="12"/>
  <c r="F11" i="12"/>
  <c r="E61" i="12"/>
  <c r="BD9" i="8"/>
  <c r="AX6" i="8"/>
  <c r="BD6" i="8"/>
  <c r="C42" i="8"/>
  <c r="BD15" i="8"/>
  <c r="BD3" i="8"/>
  <c r="BD10" i="8"/>
  <c r="BD11" i="8"/>
  <c r="BD12" i="8"/>
  <c r="BD13" i="8"/>
  <c r="BD14" i="8"/>
  <c r="BC15" i="8"/>
  <c r="AT4" i="8"/>
  <c r="AT7" i="8"/>
  <c r="AT8" i="8"/>
  <c r="AT11" i="8"/>
  <c r="AT13" i="8"/>
  <c r="AT14" i="8"/>
  <c r="AT15" i="8"/>
  <c r="AX3" i="8"/>
  <c r="AX8" i="8"/>
  <c r="J71" i="12" l="1"/>
  <c r="J72" i="12" s="1"/>
  <c r="F22" i="8"/>
  <c r="Z31" i="8"/>
  <c r="AA31" i="8" s="1"/>
  <c r="Z32" i="8" s="1"/>
  <c r="S25" i="8"/>
  <c r="T25" i="8" s="1"/>
  <c r="R35" i="8" s="1"/>
  <c r="BD8" i="8"/>
  <c r="L25" i="8"/>
  <c r="M25" i="8" s="1"/>
  <c r="K35" i="8" s="1"/>
  <c r="Y52" i="8"/>
  <c r="AC19" i="8"/>
  <c r="Y45" i="8" s="1"/>
  <c r="K21" i="8"/>
  <c r="L22" i="8" s="1"/>
  <c r="K25" i="8" s="1"/>
  <c r="M22" i="8" s="1"/>
  <c r="L23" i="8" s="1"/>
  <c r="R21" i="8"/>
  <c r="Q63" i="8"/>
  <c r="R63" i="8" s="1"/>
  <c r="Q66" i="8"/>
  <c r="D65" i="8"/>
  <c r="E65" i="8" s="1"/>
  <c r="D61" i="8"/>
  <c r="E61" i="8" s="1"/>
  <c r="D62" i="8" s="1"/>
  <c r="F16" i="8"/>
  <c r="E30" i="8" s="1"/>
  <c r="AB28" i="8"/>
  <c r="AC28" i="8" s="1"/>
  <c r="AA40" i="8" s="1"/>
  <c r="H51" i="12"/>
  <c r="H39" i="12"/>
  <c r="G28" i="12"/>
  <c r="H27" i="12"/>
  <c r="G52" i="12"/>
  <c r="G40" i="12"/>
  <c r="G51" i="12"/>
  <c r="H23" i="12"/>
  <c r="H59" i="12"/>
  <c r="H47" i="12"/>
  <c r="G59" i="12"/>
  <c r="G35" i="12"/>
  <c r="H58" i="12"/>
  <c r="G22" i="12"/>
  <c r="G34" i="12"/>
  <c r="H57" i="12"/>
  <c r="H45" i="12"/>
  <c r="H33" i="12"/>
  <c r="H17" i="12"/>
  <c r="G57" i="12"/>
  <c r="G45" i="12"/>
  <c r="G33" i="12"/>
  <c r="G17" i="12"/>
  <c r="G39" i="12"/>
  <c r="G23" i="12"/>
  <c r="H34" i="12"/>
  <c r="G46" i="12"/>
  <c r="H21" i="12"/>
  <c r="E65" i="12"/>
  <c r="G53" i="12"/>
  <c r="G41" i="12"/>
  <c r="G29" i="12"/>
  <c r="G16" i="12"/>
  <c r="H35" i="12"/>
  <c r="G47" i="12"/>
  <c r="H22" i="12"/>
  <c r="H46" i="12"/>
  <c r="G58" i="12"/>
  <c r="H53" i="12"/>
  <c r="H41" i="12"/>
  <c r="H29" i="12"/>
  <c r="H16" i="12"/>
  <c r="H52" i="12"/>
  <c r="H40" i="12"/>
  <c r="H28" i="12"/>
  <c r="H15" i="12"/>
  <c r="G11" i="12"/>
  <c r="H55" i="12"/>
  <c r="H49" i="12"/>
  <c r="H43" i="12"/>
  <c r="H37" i="12"/>
  <c r="H31" i="12"/>
  <c r="H25" i="12"/>
  <c r="H19" i="12"/>
  <c r="H13" i="12"/>
  <c r="G27" i="12"/>
  <c r="G21" i="12"/>
  <c r="G15" i="12"/>
  <c r="H56" i="12"/>
  <c r="H50" i="12"/>
  <c r="H44" i="12"/>
  <c r="H38" i="12"/>
  <c r="H32" i="12"/>
  <c r="H26" i="12"/>
  <c r="H20" i="12"/>
  <c r="H14" i="12"/>
  <c r="G56" i="12"/>
  <c r="G44" i="12"/>
  <c r="G26" i="12"/>
  <c r="G20" i="12"/>
  <c r="H11" i="12"/>
  <c r="G55" i="12"/>
  <c r="G49" i="12"/>
  <c r="G43" i="12"/>
  <c r="G37" i="12"/>
  <c r="G31" i="12"/>
  <c r="G25" i="12"/>
  <c r="G19" i="12"/>
  <c r="G13" i="12"/>
  <c r="G50" i="12"/>
  <c r="G38" i="12"/>
  <c r="G32" i="12"/>
  <c r="G14" i="12"/>
  <c r="H60" i="12"/>
  <c r="H54" i="12"/>
  <c r="H48" i="12"/>
  <c r="H42" i="12"/>
  <c r="H36" i="12"/>
  <c r="H30" i="12"/>
  <c r="H24" i="12"/>
  <c r="H18" i="12"/>
  <c r="H12" i="12"/>
  <c r="G60" i="12"/>
  <c r="G54" i="12"/>
  <c r="G48" i="12"/>
  <c r="G42" i="12"/>
  <c r="G36" i="12"/>
  <c r="G30" i="12"/>
  <c r="G24" i="12"/>
  <c r="G18" i="12"/>
  <c r="F61" i="12"/>
  <c r="E62" i="12" s="1"/>
  <c r="E63" i="12" s="1"/>
  <c r="J66" i="8"/>
  <c r="K66" i="8" s="1"/>
  <c r="J63" i="8"/>
  <c r="E21" i="8" l="1"/>
  <c r="C44" i="8" s="1"/>
  <c r="E22" i="8"/>
  <c r="AC25" i="8"/>
  <c r="AB26" i="8" s="1"/>
  <c r="AC26" i="8" s="1"/>
  <c r="AA39" i="8" s="1"/>
  <c r="S22" i="8"/>
  <c r="R25" i="8" s="1"/>
  <c r="T22" i="8" s="1"/>
  <c r="S23" i="8" s="1"/>
  <c r="T23" i="8" s="1"/>
  <c r="R34" i="8" s="1"/>
  <c r="R66" i="8"/>
  <c r="M23" i="8"/>
  <c r="K34" i="8" s="1"/>
  <c r="H61" i="12"/>
  <c r="G61" i="12"/>
  <c r="K63" i="8"/>
  <c r="Y56" i="8" l="1"/>
  <c r="E27" i="8"/>
  <c r="E26" i="8"/>
  <c r="F26" i="8" s="1"/>
  <c r="P48" i="8"/>
  <c r="D66" i="8"/>
  <c r="D63" i="8"/>
  <c r="E66" i="12"/>
  <c r="E71" i="12" s="1"/>
  <c r="E73" i="12" s="1"/>
  <c r="E74" i="12" s="1"/>
  <c r="C46" i="8"/>
  <c r="I48" i="8"/>
  <c r="AA27" i="8" l="1"/>
  <c r="K26" i="8"/>
  <c r="P50" i="8"/>
  <c r="R26" i="8"/>
  <c r="E63" i="8"/>
  <c r="F27" i="8"/>
  <c r="D67" i="8"/>
  <c r="E67" i="8" s="1"/>
  <c r="F67" i="8" s="1"/>
  <c r="AA36" i="8" l="1"/>
  <c r="AB36" i="8" s="1"/>
  <c r="AA35" i="8"/>
  <c r="K31" i="8"/>
  <c r="L31" i="8" s="1"/>
  <c r="K30" i="8"/>
  <c r="Q64" i="8"/>
  <c r="Q65" i="8" s="1"/>
  <c r="R65" i="8" s="1"/>
  <c r="T65" i="8" s="1"/>
  <c r="R30" i="8"/>
  <c r="Q67" i="8"/>
  <c r="R67" i="8" s="1"/>
  <c r="R31" i="8"/>
  <c r="S31" i="8" s="1"/>
  <c r="D64" i="8"/>
  <c r="E64" i="8" s="1"/>
  <c r="F64" i="8" s="1"/>
  <c r="C51" i="8" s="1"/>
  <c r="E28" i="8"/>
  <c r="D28" i="8" s="1"/>
  <c r="I50" i="8"/>
  <c r="J64" i="8"/>
  <c r="J65" i="8" s="1"/>
  <c r="J67" i="8"/>
  <c r="J68" i="8" s="1"/>
  <c r="E66" i="8"/>
  <c r="C52" i="8" s="1"/>
  <c r="C45" i="8"/>
  <c r="AA37" i="8" l="1"/>
  <c r="AB35" i="8"/>
  <c r="Y55" i="8" s="1"/>
  <c r="K32" i="8"/>
  <c r="J32" i="8" s="1"/>
  <c r="R64" i="8"/>
  <c r="P55" i="8" s="1"/>
  <c r="Q68" i="8"/>
  <c r="R68" i="8" s="1"/>
  <c r="T68" i="8" s="1"/>
  <c r="P56" i="8" s="1"/>
  <c r="S30" i="8"/>
  <c r="P49" i="8" s="1"/>
  <c r="R32" i="8"/>
  <c r="C60" i="8"/>
  <c r="D60" i="8" s="1"/>
  <c r="F28" i="8"/>
  <c r="K65" i="8"/>
  <c r="M65" i="8" s="1"/>
  <c r="K64" i="8"/>
  <c r="K67" i="8"/>
  <c r="K68" i="8"/>
  <c r="M68" i="8" s="1"/>
  <c r="L30" i="8"/>
  <c r="I49" i="8" s="1"/>
  <c r="AB37" i="8" l="1"/>
  <c r="Z37" i="8"/>
  <c r="AB38" i="8" s="1"/>
  <c r="AC38" i="8" s="1"/>
  <c r="S32" i="8"/>
  <c r="Q32" i="8"/>
  <c r="P62" i="8" s="1"/>
  <c r="Q62" i="8" s="1"/>
  <c r="C47" i="8"/>
  <c r="I56" i="8"/>
  <c r="I55" i="8"/>
  <c r="I62" i="8"/>
  <c r="J62" i="8" s="1"/>
  <c r="L32" i="8"/>
  <c r="Y57" i="8" l="1"/>
  <c r="P51" i="8"/>
  <c r="I5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tc={0DE3E23F-D27C-4D46-878F-C1B3DBBE3522}</author>
    <author>tc={E11DF08D-B97A-42B2-A056-513D5401F029}</author>
  </authors>
  <commentList>
    <comment ref="E10" authorId="0" shapeId="0" xr:uid="{0DE3E23F-D27C-4D46-878F-C1B3DBBE3522}">
      <text>
        <t>[Threaded comment]
Your version of Excel allows you to read this threaded comment; however, any edits to it will get removed if the file is opened in a newer version of Excel. Learn more: https://go.microsoft.com/fwlink/?linkid=870924
Comment:
    Does not work Wednesdays</t>
      </text>
    </comment>
    <comment ref="B40" authorId="1" shapeId="0" xr:uid="{E11DF08D-B97A-42B2-A056-513D5401F029}">
      <text>
        <t>[Threaded comment]
Your version of Excel allows you to read this threaded comment; however, any edits to it will get removed if the file is opened in a newer version of Excel. Learn more: https://go.microsoft.com/fwlink/?linkid=870924
Comment:
    Now trade as London Premier Floors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tc={034CCF19-4093-46DE-BB6C-3612553DA16C}</author>
    <author>tc={784605C0-7AA7-47DF-BD07-9C57A57E2364}</author>
    <author>tc={F32F65A0-943A-43B2-83B1-08140D4FDF96}</author>
    <author>tc={D002DD9F-56D3-4919-BFB4-D3B6FF044B8A}</author>
    <author>tc={B1EDD53D-B274-419E-BFAB-9DA115A945B2}</author>
    <author>tc={3A018EFA-0586-4541-B07D-C14EBEB0471E}</author>
    <author>tc={BD86AEB2-90E2-46B5-A9CC-71ACDBD1B28F}</author>
    <author>tc={1CA249B1-CF30-4DFF-B743-EB26A6089527}</author>
    <author>tc={9EC9F6DC-8E1F-4AA0-92CE-11C109557192}</author>
    <author>tc={AC666865-11A5-4464-9025-B7FC4D4DC22C}</author>
    <author>tc={2D008381-9E3F-4EA1-8BA1-8117CA8DE1BC}</author>
    <author>tc={DB3E714C-3C05-478B-9E94-5EC1E3D3BBE7}</author>
    <author>tc={A8A6102A-23D6-45D6-A4F1-A78AF939580C}</author>
    <author>tc={03320C7E-516B-433E-8F67-6E501FB87202}</author>
    <author>tc={D9894148-FE2C-4785-BEC6-1CA87BFC7DE2}</author>
    <author>tc={A3EE76D0-D7DD-41ED-AA80-36AE330238CF}</author>
  </authors>
  <commentList>
    <comment ref="J3" authorId="0" shapeId="0" xr:uid="{034CCF19-4093-46DE-BB6C-3612553DA16C}">
      <text>
        <t>[Threaded comment]
Your version of Excel allows you to read this threaded comment; however, any edits to it will get removed if the file is opened in a newer version of Excel. Learn more: https://go.microsoft.com/fwlink/?linkid=870924
Comment:
    Minimum 10 invoices in 2024</t>
      </text>
    </comment>
    <comment ref="F9" authorId="1" shapeId="0" xr:uid="{784605C0-7AA7-47DF-BD07-9C57A57E2364}">
      <text>
        <t>[Threaded comment]
Your version of Excel allows you to read this threaded comment; however, any edits to it will get removed if the file is opened in a newer version of Excel. Learn more: https://go.microsoft.com/fwlink/?linkid=870924
Comment:
    Commission to increase to 15% from  12% on 2nd of Feb.</t>
      </text>
    </comment>
    <comment ref="C20" authorId="2" shapeId="0" xr:uid="{F32F65A0-943A-43B2-83B1-08140D4FDF96}">
      <text>
        <t>[Threaded comment]
Your version of Excel allows you to read this threaded comment; however, any edits to it will get removed if the file is opened in a newer version of Excel. Learn more: https://go.microsoft.com/fwlink/?linkid=870924
Comment:
    50% Deposits for works over £3k</t>
      </text>
    </comment>
    <comment ref="F31" authorId="3" shapeId="0" xr:uid="{D002DD9F-56D3-4919-BFB4-D3B6FF044B8A}">
      <text>
        <t>[Threaded comment]
Your version of Excel allows you to read this threaded comment; however, any edits to it will get removed if the file is opened in a newer version of Excel. Learn more: https://go.microsoft.com/fwlink/?linkid=870924
Comment:
    Sliding scale for large jobs Referral fee charged (VAT incl.
Works over £5,000 - £600 
Works over £10,000 - £900 
Works over £25,000 - £1,200 
Works over £50,000 - £1,800 
Works over £75,000 - £2,400 
Works over £100,000 - £2,800</t>
      </text>
    </comment>
    <comment ref="F40" authorId="4" shapeId="0" xr:uid="{B1EDD53D-B274-419E-BFAB-9DA115A945B2}">
      <text>
        <t>[Threaded comment]
Your version of Excel allows you to read this threaded comment; however, any edits to it will get removed if the file is opened in a newer version of Excel. Learn more: https://go.microsoft.com/fwlink/?linkid=870924
Comment:
    To increase to 14.4% on the 3rd of July.</t>
      </text>
    </comment>
    <comment ref="I42" authorId="5" shapeId="0" xr:uid="{3A018EFA-0586-4541-B07D-C14EBEB0471E}">
      <text>
        <t>[Threaded comment]
Your version of Excel allows you to read this threaded comment; however, any edits to it will get removed if the file is opened in a newer version of Excel. Learn more: https://go.microsoft.com/fwlink/?linkid=870924
Comment:
    For invoices &lt;£1000, they tend to have money on the account so payment turnaround can be with 24 hrs. 
For larger invoices, they are typically collected from their monthly rent.</t>
      </text>
    </comment>
    <comment ref="N43" authorId="6" shapeId="0" xr:uid="{BD86AEB2-90E2-46B5-A9CC-71ACDBD1B28F}">
      <text>
        <t>[Threaded comment]
Your version of Excel allows you to read this threaded comment; however, any edits to it will get removed if the file is opened in a newer version of Excel. Learn more: https://go.microsoft.com/fwlink/?linkid=870924
Comment:
    Either a Thursday or Friday.</t>
      </text>
    </comment>
    <comment ref="E56" authorId="7" shapeId="0" xr:uid="{1CA249B1-CF30-4DFF-B743-EB26A6089527}">
      <text>
        <t>[Threaded comment]
Your version of Excel allows you to read this threaded comment; however, any edits to it will get removed if the file is opened in a newer version of Excel. Learn more: https://go.microsoft.com/fwlink/?linkid=870924
Comment:
    Call on site if greater.</t>
      </text>
    </comment>
    <comment ref="E58" authorId="8" shapeId="0" xr:uid="{9EC9F6DC-8E1F-4AA0-92CE-11C109557192}">
      <text>
        <t>[Threaded comment]
Your version of Excel allows you to read this threaded comment; however, any edits to it will get removed if the file is opened in a newer version of Excel. Learn more: https://go.microsoft.com/fwlink/?linkid=870924
Comment:
    This is including VAT</t>
      </text>
    </comment>
    <comment ref="F71" authorId="9" shapeId="0" xr:uid="{AC666865-11A5-4464-9025-B7FC4D4DC22C}">
      <text>
        <t>[Threaded comment]
Your version of Excel allows you to read this threaded comment; however, any edits to it will get removed if the file is opened in a newer version of Excel. Learn more: https://go.microsoft.com/fwlink/?linkid=870924
Comment:
    As of the 1st of June commission will be 15%
Reply:
    Anything from before 1 June = 20% commission on labour</t>
      </text>
    </comment>
    <comment ref="E75" authorId="10" shapeId="0" xr:uid="{2D008381-9E3F-4EA1-8BA1-8117CA8DE1BC}">
      <text>
        <t>[Threaded comment]
Your version of Excel allows you to read this threaded comment; however, any edits to it will get removed if the file is opened in a newer version of Excel. Learn more: https://go.microsoft.com/fwlink/?linkid=870924
Comment:
    Previously had requested if quotes could betaken free of charge. Unclear if we got back to them on this. Looking into this</t>
      </text>
    </comment>
    <comment ref="F80" authorId="11" shapeId="0" xr:uid="{DB3E714C-3C05-478B-9E94-5EC1E3D3BBE7}">
      <text>
        <t>[Threaded comment]
Your version of Excel allows you to read this threaded comment; however, any edits to it will get removed if the file is opened in a newer version of Excel. Learn more: https://go.microsoft.com/fwlink/?linkid=870924
Comment:
    Commission increased from 12% --&gt; 15% from 02/05/24</t>
      </text>
    </comment>
    <comment ref="F87" authorId="12" shapeId="0" xr:uid="{A8A6102A-23D6-45D6-A4F1-A78AF939580C}">
      <text>
        <t>[Threaded comment]
Your version of Excel allows you to read this threaded comment; however, any edits to it will get removed if the file is opened in a newer version of Excel. Learn more: https://go.microsoft.com/fwlink/?linkid=870924
Comment:
    **Penalty per hour**
Emergency - 5% of total invoice 
Urgent - 2% of total invoice
Routine - 1% of total invoice
**Response time**
Emergency Repair – 24 hours response to remedy or make safe any potential defects 
Urgent Repair – maximum of 5 days period to remedy defects 
Routine Repairs – maximum of 20 days period to remedy defects </t>
      </text>
    </comment>
    <comment ref="F92" authorId="13" shapeId="0" xr:uid="{03320C7E-516B-433E-8F67-6E501FB87202}">
      <text>
        <t>[Threaded comment]
Your version of Excel allows you to read this threaded comment; however, any edits to it will get removed if the file is opened in a newer version of Excel. Learn more: https://go.microsoft.com/fwlink/?linkid=870924
Comment:
    To decrease to 14.4% on the 9th of June from 15%.</t>
      </text>
    </comment>
    <comment ref="C132" authorId="14" shapeId="0" xr:uid="{D9894148-FE2C-4785-BEC6-1CA87BFC7DE2}">
      <text>
        <t>[Threaded comment]
Your version of Excel allows you to read this threaded comment; however, any edits to it will get removed if the file is opened in a newer version of Excel. Learn more: https://go.microsoft.com/fwlink/?linkid=870924
Comment:
    Touchstone only accept deposits for high end jobs (Approx. £10k+). This would need to be agreed with PM first.</t>
      </text>
    </comment>
    <comment ref="N132" authorId="15" shapeId="0" xr:uid="{A3EE76D0-D7DD-41ED-AA80-36AE330238CF}">
      <text>
        <t>[Threaded comment]
Your version of Excel allows you to read this threaded comment; however, any edits to it will get removed if the file is opened in a newer version of Excel. Learn more: https://go.microsoft.com/fwlink/?linkid=870924
Comment:
    they do runs on other days, can depend on their client</t>
      </text>
    </comment>
  </commentList>
</comments>
</file>

<file path=xl/sharedStrings.xml><?xml version="1.0" encoding="utf-8"?>
<sst xmlns="http://schemas.openxmlformats.org/spreadsheetml/2006/main" count="2219" uniqueCount="1050">
  <si>
    <t>WHAT OPTIMAL CHARGES - Hourly</t>
  </si>
  <si>
    <t>SUBBY CAN CHARGE MAX</t>
  </si>
  <si>
    <t>OPITMAL COST - Hourly</t>
  </si>
  <si>
    <t>Overhead %</t>
  </si>
  <si>
    <t>WORKINGS</t>
  </si>
  <si>
    <t>SELECT AGENT:</t>
  </si>
  <si>
    <t>FIXFLO</t>
  </si>
  <si>
    <t>SELECT TRADE:</t>
  </si>
  <si>
    <t>Optimal</t>
  </si>
  <si>
    <t>Trade</t>
  </si>
  <si>
    <t>Cost p/h</t>
  </si>
  <si>
    <t>Cost p/d</t>
  </si>
  <si>
    <t>Hourly</t>
  </si>
  <si>
    <t>Direct Cost (Daily)</t>
  </si>
  <si>
    <t>Apnar Ghar</t>
  </si>
  <si>
    <t>Carpenter</t>
  </si>
  <si>
    <t>Subcontractor</t>
  </si>
  <si>
    <t>Daily</t>
  </si>
  <si>
    <t>Direct Cost (Hourly)</t>
  </si>
  <si>
    <t>Aspire</t>
  </si>
  <si>
    <t>Doors, Windows &amp; Locks</t>
  </si>
  <si>
    <t>Daily &gt; 5 days</t>
  </si>
  <si>
    <t>Total charge for labourer</t>
  </si>
  <si>
    <t>Atkinson McLeod</t>
  </si>
  <si>
    <t>Drains &amp; Blockages</t>
  </si>
  <si>
    <t>Subby - Hourly</t>
  </si>
  <si>
    <t>Direct Cost Labourer (Daily)</t>
  </si>
  <si>
    <t>Barnard &amp; Marcus</t>
  </si>
  <si>
    <t>Electrician</t>
  </si>
  <si>
    <t>Subby - Daily</t>
  </si>
  <si>
    <t>Direct Cost Labourer (Hourly)</t>
  </si>
  <si>
    <t>Bective</t>
  </si>
  <si>
    <t>Fencing &amp; Decking</t>
  </si>
  <si>
    <t>Subby - Daily &gt; 3 days</t>
  </si>
  <si>
    <t>Overheads (Daily)</t>
  </si>
  <si>
    <t>Beresford Residential</t>
  </si>
  <si>
    <t>Flooring (Carpet, Laminate, Vinyl Etc)</t>
  </si>
  <si>
    <t>Fire Certificate</t>
  </si>
  <si>
    <t>Overheads (Hourly)</t>
  </si>
  <si>
    <t>Berkshire Hathaway</t>
  </si>
  <si>
    <t>Gardening</t>
  </si>
  <si>
    <t>INTERNAL QUOTE CALCULATOR</t>
  </si>
  <si>
    <t>SUBCONTRACTOR</t>
  </si>
  <si>
    <t>Blinkleys</t>
  </si>
  <si>
    <t>Gas Safe</t>
  </si>
  <si>
    <t>Ohs - Hourly 30%, Daily 20%, 3 days or more 15%</t>
  </si>
  <si>
    <t>Mark Up on Materials (Hourly)</t>
  </si>
  <si>
    <t>Blocshpere</t>
  </si>
  <si>
    <t>Multi-trader</t>
  </si>
  <si>
    <t>HOURLY</t>
  </si>
  <si>
    <t>DAILY - Up to 2 Days</t>
  </si>
  <si>
    <t>DAILY - 3 Days or More</t>
  </si>
  <si>
    <t>CALCULATOR</t>
  </si>
  <si>
    <t>Leak Investigation</t>
  </si>
  <si>
    <t>Bold &amp; Reeces</t>
  </si>
  <si>
    <t>Painter &amp; Decorator</t>
  </si>
  <si>
    <t>HOURS</t>
  </si>
  <si>
    <t>BPS</t>
  </si>
  <si>
    <t>Paths &amp; Patios</t>
  </si>
  <si>
    <t>TRADE:</t>
  </si>
  <si>
    <t>Butler &amp; Stag</t>
  </si>
  <si>
    <t>Plasterer &amp; Tiller</t>
  </si>
  <si>
    <t>Subcontractors Name:</t>
  </si>
  <si>
    <t>Vantastic</t>
  </si>
  <si>
    <t>Campden Estates</t>
  </si>
  <si>
    <t>Plumber</t>
  </si>
  <si>
    <t>Number of Engineers?</t>
  </si>
  <si>
    <t>SKILLED ENGINEERS</t>
  </si>
  <si>
    <t>CareTech</t>
  </si>
  <si>
    <t>Roofer</t>
  </si>
  <si>
    <t>How many hours?</t>
  </si>
  <si>
    <t>Trade:</t>
  </si>
  <si>
    <t>Casa Londra</t>
  </si>
  <si>
    <t>Scaffolder</t>
  </si>
  <si>
    <t>How many days?</t>
  </si>
  <si>
    <t>Roof Investigation</t>
  </si>
  <si>
    <t>CBRE</t>
  </si>
  <si>
    <t>Specialist Subby</t>
  </si>
  <si>
    <t>Parking</t>
  </si>
  <si>
    <t>LABOURERS</t>
  </si>
  <si>
    <t>Number of guys?</t>
  </si>
  <si>
    <t>OH Rate:</t>
  </si>
  <si>
    <t>Chamberland Residential</t>
  </si>
  <si>
    <t>Steel Worker</t>
  </si>
  <si>
    <t>Congestion Charge</t>
  </si>
  <si>
    <t>Number of labourers?</t>
  </si>
  <si>
    <t>Hours / Days</t>
  </si>
  <si>
    <t>Days</t>
  </si>
  <si>
    <t>Chesterton</t>
  </si>
  <si>
    <t>Materials</t>
  </si>
  <si>
    <t>zz</t>
  </si>
  <si>
    <t>How many hours / Days?</t>
  </si>
  <si>
    <t>CHISEL</t>
  </si>
  <si>
    <t>Overheads</t>
  </si>
  <si>
    <t>Charge of labour</t>
  </si>
  <si>
    <t>Countrywide</t>
  </si>
  <si>
    <t>Client Fees</t>
  </si>
  <si>
    <t>Labour</t>
  </si>
  <si>
    <t>Daniel Watney LLP</t>
  </si>
  <si>
    <t>Oliver Jaques</t>
  </si>
  <si>
    <t>Trades based on 42% of what we charge, then rounded off based on discussion with nelson</t>
  </si>
  <si>
    <t>Dexters</t>
  </si>
  <si>
    <t>Charge of materials</t>
  </si>
  <si>
    <t>Dolce Vita</t>
  </si>
  <si>
    <t>FINAL FIGURES:</t>
  </si>
  <si>
    <t>Douglas &amp; Gordon</t>
  </si>
  <si>
    <t>Cost to Optimal LABOUR / OH / EAF</t>
  </si>
  <si>
    <t>Druce</t>
  </si>
  <si>
    <t>Cost to Optimal MAT / PARK / CC</t>
  </si>
  <si>
    <t>Easthaus</t>
  </si>
  <si>
    <t>Profit on Job</t>
  </si>
  <si>
    <t>Eddison White</t>
  </si>
  <si>
    <t>Emma's Estate Agents</t>
  </si>
  <si>
    <t>Charge to Client</t>
  </si>
  <si>
    <t>LABOUR:</t>
  </si>
  <si>
    <t>Who will provide Materials:</t>
  </si>
  <si>
    <t>Evolve</t>
  </si>
  <si>
    <t>MATERIALS / PARKING / CC:</t>
  </si>
  <si>
    <t>First Union</t>
  </si>
  <si>
    <t>Validation</t>
  </si>
  <si>
    <t>Fletchers</t>
  </si>
  <si>
    <t>Foster &amp; Edward</t>
  </si>
  <si>
    <t>Enter this information into internal notes:</t>
  </si>
  <si>
    <t>Frank Harris</t>
  </si>
  <si>
    <t>PRODUCT:</t>
  </si>
  <si>
    <t>Garrett Whitelock</t>
  </si>
  <si>
    <t>Garrington</t>
  </si>
  <si>
    <t>Go View</t>
  </si>
  <si>
    <t>HOURLY QUOTE HELPER USED</t>
  </si>
  <si>
    <t>Hamptons</t>
  </si>
  <si>
    <t>LINK/S &amp; QUANTITY:</t>
  </si>
  <si>
    <t>Henry Wiltshire</t>
  </si>
  <si>
    <t>WHO QUOTED:</t>
  </si>
  <si>
    <t>IMPORTANT INFO:</t>
  </si>
  <si>
    <t>Hestia</t>
  </si>
  <si>
    <t>BEST ENGINEER:</t>
  </si>
  <si>
    <t xml:space="preserve"> </t>
  </si>
  <si>
    <t>Heywood &amp; Partners</t>
  </si>
  <si>
    <t>DAILY (Up to 2 Days) QUOTE HELPER USED</t>
  </si>
  <si>
    <t>DAILY (3 Days &gt;) QUOTE HELPER USED</t>
  </si>
  <si>
    <t>ILGS Ltd TA Newbrix</t>
  </si>
  <si>
    <t>Jackson Stops &amp; Staff</t>
  </si>
  <si>
    <t>Jacksons</t>
  </si>
  <si>
    <t>JC Living</t>
  </si>
  <si>
    <t>JDW</t>
  </si>
  <si>
    <t>JLL</t>
  </si>
  <si>
    <t>Johns &amp; Co</t>
  </si>
  <si>
    <t>EXTERNAL DELIVERY:</t>
  </si>
  <si>
    <t>JSE</t>
  </si>
  <si>
    <t>KFH</t>
  </si>
  <si>
    <t>Lambert Chartered Surveyors</t>
  </si>
  <si>
    <t>Landstones</t>
  </si>
  <si>
    <t>LDG</t>
  </si>
  <si>
    <t>Leo Estates Management</t>
  </si>
  <si>
    <t>Life Residential</t>
  </si>
  <si>
    <t>Lock Terrace</t>
  </si>
  <si>
    <t>Lurot Brand</t>
  </si>
  <si>
    <t>Maddison Brook</t>
  </si>
  <si>
    <t>Manage My Property</t>
  </si>
  <si>
    <t>Marler &amp; Marler</t>
  </si>
  <si>
    <t>External Labour charge:</t>
  </si>
  <si>
    <t>Marsh &amp; Parsons</t>
  </si>
  <si>
    <t>Per hour:</t>
  </si>
  <si>
    <t>Martin &amp; Co</t>
  </si>
  <si>
    <t>Profit</t>
  </si>
  <si>
    <t>MIH</t>
  </si>
  <si>
    <t>Profit %</t>
  </si>
  <si>
    <t>Napier Watt</t>
  </si>
  <si>
    <t>Labour &amp; mat</t>
  </si>
  <si>
    <t>Newbrix</t>
  </si>
  <si>
    <t>Labour and Mat</t>
  </si>
  <si>
    <t>NHS</t>
  </si>
  <si>
    <t>OIG</t>
  </si>
  <si>
    <t>Oliver Burn</t>
  </si>
  <si>
    <t>Orchard &amp; Shipman</t>
  </si>
  <si>
    <t>Orlando Reid</t>
  </si>
  <si>
    <t>Portico / Leaders</t>
  </si>
  <si>
    <t>Private Customer</t>
  </si>
  <si>
    <t>Property Maintenance &amp; Management Services Ltd</t>
  </si>
  <si>
    <t>Purple Bricks</t>
  </si>
  <si>
    <t>Rayners</t>
  </si>
  <si>
    <t>Rampton Baseley</t>
  </si>
  <si>
    <t>Regent Property</t>
  </si>
  <si>
    <t>Referral Fee (5%)</t>
  </si>
  <si>
    <t>Right Now Residential</t>
  </si>
  <si>
    <t>Robertson Smith &amp; Kempson</t>
  </si>
  <si>
    <t>Roupell Park</t>
  </si>
  <si>
    <t>Russell Simpson</t>
  </si>
  <si>
    <t>Sigma / Simple Life</t>
  </si>
  <si>
    <t>Square Quarters</t>
  </si>
  <si>
    <t>Stirling Ackroyd</t>
  </si>
  <si>
    <t>Strettons</t>
  </si>
  <si>
    <t>SW9</t>
  </si>
  <si>
    <t>TLC</t>
  </si>
  <si>
    <t>Touchstone</t>
  </si>
  <si>
    <t>Trent Park Properties LLP</t>
  </si>
  <si>
    <t>Winkworth - Battersea</t>
  </si>
  <si>
    <t>WHR Property Management</t>
  </si>
  <si>
    <t>Winkworth - Newcross &amp; Forest Hill</t>
  </si>
  <si>
    <t>Winkworth - Queens Park</t>
  </si>
  <si>
    <t>Winkworth - South Kensington</t>
  </si>
  <si>
    <t>INTERNAL DELIVERY (DAY RATE)</t>
  </si>
  <si>
    <t xml:space="preserve">SURVEYORS </t>
  </si>
  <si>
    <t>TOP 3 QUOTES</t>
  </si>
  <si>
    <t>VEHICLE</t>
  </si>
  <si>
    <t>CONTACT</t>
  </si>
  <si>
    <t>Alex Alves</t>
  </si>
  <si>
    <t>Damp/Mould</t>
  </si>
  <si>
    <t>Major Leak Investigations</t>
  </si>
  <si>
    <t>Structural Quotes</t>
  </si>
  <si>
    <t>EJ71 UMT</t>
  </si>
  <si>
    <t>07775 655 243</t>
  </si>
  <si>
    <t xml:space="preserve">Vitor Espirito Santo </t>
  </si>
  <si>
    <t>Quotes Only</t>
  </si>
  <si>
    <t>Desktop Quotes</t>
  </si>
  <si>
    <t>EO21 OFV</t>
  </si>
  <si>
    <t>07568 235 596</t>
  </si>
  <si>
    <t>ENGINEERS</t>
  </si>
  <si>
    <t>TOP 3 TRADES</t>
  </si>
  <si>
    <t xml:space="preserve">Carlos Franco (BIG JOBS ONLY) </t>
  </si>
  <si>
    <t xml:space="preserve">External Works </t>
  </si>
  <si>
    <t xml:space="preserve">General Builder </t>
  </si>
  <si>
    <t>Painting</t>
  </si>
  <si>
    <t>LC70 NHZ</t>
  </si>
  <si>
    <t>Celso Teixeira</t>
  </si>
  <si>
    <t>Tiling</t>
  </si>
  <si>
    <t>Bathrooms</t>
  </si>
  <si>
    <t xml:space="preserve">Brickwork </t>
  </si>
  <si>
    <t>YF23 UAU</t>
  </si>
  <si>
    <t>7538 019 726</t>
  </si>
  <si>
    <t>HRISTO DZHURKOV</t>
  </si>
  <si>
    <t>Carpentry</t>
  </si>
  <si>
    <t xml:space="preserve">Basic Handyman Jobs </t>
  </si>
  <si>
    <t>LA70EKC</t>
  </si>
  <si>
    <t>7515 653699</t>
  </si>
  <si>
    <t>Idelberto Nunes</t>
  </si>
  <si>
    <t xml:space="preserve">Painting </t>
  </si>
  <si>
    <t>Plastering</t>
  </si>
  <si>
    <t>LA72 KGE</t>
  </si>
  <si>
    <t>Marco Miguel</t>
  </si>
  <si>
    <t>Plumbing</t>
  </si>
  <si>
    <t>Electric</t>
  </si>
  <si>
    <t>LB70 TLK</t>
  </si>
  <si>
    <t>Miguel Perestelo</t>
  </si>
  <si>
    <t>YB23 UVY</t>
  </si>
  <si>
    <t>Rui Mota</t>
  </si>
  <si>
    <t>Plastering / Painting</t>
  </si>
  <si>
    <t>Brickwork</t>
  </si>
  <si>
    <t>Handyman</t>
  </si>
  <si>
    <t>LA70OJV</t>
  </si>
  <si>
    <t>Steffan (No PLEO or VAN)</t>
  </si>
  <si>
    <t>External works (Labourer)</t>
  </si>
  <si>
    <t>Pointing (Labourer)</t>
  </si>
  <si>
    <t>DOES NOT DRIVE</t>
  </si>
  <si>
    <t>7796 830793</t>
  </si>
  <si>
    <t>TOP SUPPLY CHAIN</t>
  </si>
  <si>
    <t>AREA</t>
  </si>
  <si>
    <t>AM WEB (WARREN)</t>
  </si>
  <si>
    <t>PAINTING &amp; DECORATING</t>
  </si>
  <si>
    <t xml:space="preserve">Handyman </t>
  </si>
  <si>
    <t>WEST + NW, SW, CENTRAL</t>
  </si>
  <si>
    <t xml:space="preserve">ONE POINT SERVICES </t>
  </si>
  <si>
    <t>MULTITRADE</t>
  </si>
  <si>
    <t>REFURBS</t>
  </si>
  <si>
    <t>SMALL JOBS &amp; CALL OUTS</t>
  </si>
  <si>
    <t>EAST + ALL OF LONDON</t>
  </si>
  <si>
    <t>ROWBY</t>
  </si>
  <si>
    <t>KITCHENS</t>
  </si>
  <si>
    <t xml:space="preserve">SOUTH + ALL OF LONDON </t>
  </si>
  <si>
    <t>HOME IMPROVEMENT  (LEON)</t>
  </si>
  <si>
    <t xml:space="preserve">PLUMBING </t>
  </si>
  <si>
    <t>HANDYMAN</t>
  </si>
  <si>
    <t>RUI ABREU</t>
  </si>
  <si>
    <t>PAINTING/PLASTERING</t>
  </si>
  <si>
    <t>BATHROOMS</t>
  </si>
  <si>
    <t>MUTLI / REFURB</t>
  </si>
  <si>
    <t xml:space="preserve">KENT + BR, SE, CR </t>
  </si>
  <si>
    <t>7476 555 423</t>
  </si>
  <si>
    <t>OB WINDOWS (OWEN)</t>
  </si>
  <si>
    <t xml:space="preserve">UPVC WINDOWS </t>
  </si>
  <si>
    <t xml:space="preserve">WINDOW REPAIRS </t>
  </si>
  <si>
    <t>UPVC DOORS</t>
  </si>
  <si>
    <t>BUCKLEY ROOFING</t>
  </si>
  <si>
    <t>ROOF REPAIRS</t>
  </si>
  <si>
    <t>LIQUID ROOF SYSTEMS</t>
  </si>
  <si>
    <t>ROOF INVESTIGATIONS</t>
  </si>
  <si>
    <t>KENT + ALL OF LONDON</t>
  </si>
  <si>
    <t xml:space="preserve">SCR ROOFING </t>
  </si>
  <si>
    <t xml:space="preserve"> ROOF &amp; BALCONIES</t>
  </si>
  <si>
    <t>PROMINADE TILES</t>
  </si>
  <si>
    <t>LONDON + SOUTH EAST UK</t>
  </si>
  <si>
    <t>07971 171363</t>
  </si>
  <si>
    <t>GREEN REV CLEANING (VIKTORIA)</t>
  </si>
  <si>
    <t xml:space="preserve">CLEANING </t>
  </si>
  <si>
    <t>RUBBISH REMOVAL</t>
  </si>
  <si>
    <t xml:space="preserve">BASIC HANDYMAN </t>
  </si>
  <si>
    <t>WASTER RELIEF</t>
  </si>
  <si>
    <t>WASTE REMOVAL</t>
  </si>
  <si>
    <t xml:space="preserve">BULK COLLECTIONS </t>
  </si>
  <si>
    <t>HOMERUN</t>
  </si>
  <si>
    <t>GAS ENGINEER</t>
  </si>
  <si>
    <t xml:space="preserve">ELECTRICIAN </t>
  </si>
  <si>
    <t>BOILER</t>
  </si>
  <si>
    <t>SUPER EFFICIENT</t>
  </si>
  <si>
    <t>DRAINAGE</t>
  </si>
  <si>
    <t>ALL OF LONDON</t>
  </si>
  <si>
    <t>203 150 5151</t>
  </si>
  <si>
    <t xml:space="preserve">REDRING </t>
  </si>
  <si>
    <t>DAMP SURVEY</t>
  </si>
  <si>
    <t>Key Points:</t>
  </si>
  <si>
    <t>Franco only to be booked for day jobs</t>
  </si>
  <si>
    <t>Rui Mota not to be booked for any plumbing jobs unless very basic</t>
  </si>
  <si>
    <t>Marco &amp; Celso to be booked for quotes and leak investigation</t>
  </si>
  <si>
    <t>Labourer will always have to be paired up with an engineer with a van who will buy materials for labourer</t>
  </si>
  <si>
    <t>EC and WC1 to always be booked in first job</t>
  </si>
  <si>
    <t>Key collection only from 9am</t>
  </si>
  <si>
    <t>SUBCONTRACTORS DETAILS</t>
  </si>
  <si>
    <t>FINANCE</t>
  </si>
  <si>
    <t>PRIMARY TRADE</t>
  </si>
  <si>
    <t>SECONDARY TRADES / NOTES</t>
  </si>
  <si>
    <t>MAIN CONTACT</t>
  </si>
  <si>
    <t>EMAIL ADDRESS</t>
  </si>
  <si>
    <t>PHONE NUMBER</t>
  </si>
  <si>
    <t>Active</t>
  </si>
  <si>
    <t>Location Covered</t>
  </si>
  <si>
    <t>Insurance Expiry</t>
  </si>
  <si>
    <t>Has Teams Folder</t>
  </si>
  <si>
    <t>Set up on Eworks</t>
  </si>
  <si>
    <t xml:space="preserve">Allison trees </t>
  </si>
  <si>
    <t>Tree Surgeon</t>
  </si>
  <si>
    <t>John McKenna</t>
  </si>
  <si>
    <t>allisontreeservices@hotmail.co.uk</t>
  </si>
  <si>
    <t>NO</t>
  </si>
  <si>
    <t>Home Run London Ltd</t>
  </si>
  <si>
    <t>Boiler Replacements, Hot water</t>
  </si>
  <si>
    <t>Will Shearing</t>
  </si>
  <si>
    <t>info@homerunlondonltd.com</t>
  </si>
  <si>
    <t>2036655391 / 7853238445</t>
  </si>
  <si>
    <t>YES</t>
  </si>
  <si>
    <t>18/11/2025</t>
  </si>
  <si>
    <t xml:space="preserve">Brothers joinery </t>
  </si>
  <si>
    <t xml:space="preserve">Carpentry </t>
  </si>
  <si>
    <t>info@brothersjoinery.com</t>
  </si>
  <si>
    <t xml:space="preserve">Discount Carpets SW19 </t>
  </si>
  <si>
    <t>They do supply and Fit  and Hold a wide range in store</t>
  </si>
  <si>
    <t xml:space="preserve">Trevor </t>
  </si>
  <si>
    <t>https://discountcarpetssw19.co.uk/</t>
  </si>
  <si>
    <t>07904 213 295</t>
  </si>
  <si>
    <t>Gerald Begvarfaj</t>
  </si>
  <si>
    <t>Flooring, Welding</t>
  </si>
  <si>
    <t>gerisbeg13@gmail.com</t>
  </si>
  <si>
    <t>Harinder Singh</t>
  </si>
  <si>
    <t>harindersingh398@yahoo.com</t>
  </si>
  <si>
    <t>20 8092 7680</t>
  </si>
  <si>
    <t>N/A</t>
  </si>
  <si>
    <t>RYP Services</t>
  </si>
  <si>
    <t>Robert Caroll</t>
  </si>
  <si>
    <t>INFO@RYPPSERVICES.CO.UK</t>
  </si>
  <si>
    <t>7476555423 / 7915 823 093</t>
  </si>
  <si>
    <t>Tapi Carpets (Croydon)</t>
  </si>
  <si>
    <t>Attila</t>
  </si>
  <si>
    <t>croydon@tapi.co.uk</t>
  </si>
  <si>
    <t>07943705981/ 07506683093 / 0203 954 6670</t>
  </si>
  <si>
    <t xml:space="preserve">Tusk Group </t>
  </si>
  <si>
    <t>Isaac Parker</t>
  </si>
  <si>
    <t>info@tuskgroup.co.uk</t>
  </si>
  <si>
    <t>207 157 9624</t>
  </si>
  <si>
    <t>Igor Chomczyk</t>
  </si>
  <si>
    <t>Kitchens, Bathrooms</t>
  </si>
  <si>
    <t>igorchomczyk@gmail.com</t>
  </si>
  <si>
    <t>07706692485 / 07706692485</t>
  </si>
  <si>
    <t>Juan Sebastian Diaz Fernandez</t>
  </si>
  <si>
    <t>Juan Fernandez</t>
  </si>
  <si>
    <t>jsebastiandiazf@gmail.com</t>
  </si>
  <si>
    <t>07399 696355</t>
  </si>
  <si>
    <t>A1 Chimney Sweep</t>
  </si>
  <si>
    <t>Chimney Sweep</t>
  </si>
  <si>
    <t>Hayley</t>
  </si>
  <si>
    <t>a1chimneysweepandmaintenance@gmail.com</t>
  </si>
  <si>
    <t>07508 051 920</t>
  </si>
  <si>
    <t>City Sweeps</t>
  </si>
  <si>
    <t>citysweepslondon@gmail.com</t>
  </si>
  <si>
    <t>0208 241 3213</t>
  </si>
  <si>
    <t>SweepSmart Ltd</t>
  </si>
  <si>
    <t>Paul Solicari</t>
  </si>
  <si>
    <t>office@sweepsmart.co.uk</t>
  </si>
  <si>
    <t>020 8351 7164</t>
  </si>
  <si>
    <t>Luxe Property Services</t>
  </si>
  <si>
    <t>Cleaning</t>
  </si>
  <si>
    <t>Nicole Bloomfield</t>
  </si>
  <si>
    <t>n.bloomfield15@gmail.com</t>
  </si>
  <si>
    <t>07925848294 </t>
  </si>
  <si>
    <t>Vijtoria Matuz</t>
  </si>
  <si>
    <t>Green Rev Cleaning</t>
  </si>
  <si>
    <t>greenrevcleaning@gmail.com</t>
  </si>
  <si>
    <t>+44 7451 036 876</t>
  </si>
  <si>
    <t>Dwayne Johnson</t>
  </si>
  <si>
    <t>Clearances</t>
  </si>
  <si>
    <t xml:space="preserve">Does after hours and weekend </t>
  </si>
  <si>
    <t>Dwanye</t>
  </si>
  <si>
    <t>dzj2011@hotmail.com</t>
  </si>
  <si>
    <t>07481 267 225</t>
  </si>
  <si>
    <t>Juan Lozano</t>
  </si>
  <si>
    <t>jclozanoramirez78@gmail.com</t>
  </si>
  <si>
    <t>Idris</t>
  </si>
  <si>
    <t>info@vantasticremoval.com</t>
  </si>
  <si>
    <t>Redring</t>
  </si>
  <si>
    <t>Damp Investigations</t>
  </si>
  <si>
    <t>info@redringwebsite.com</t>
  </si>
  <si>
    <t xml:space="preserve">The Damp Company </t>
  </si>
  <si>
    <t>customerservice@thedampcompany.co.uk</t>
  </si>
  <si>
    <t>All 4 One</t>
  </si>
  <si>
    <t>Decorating</t>
  </si>
  <si>
    <t>Basic jobs, Social housing multitrade</t>
  </si>
  <si>
    <t>Chris</t>
  </si>
  <si>
    <t xml:space="preserve">	info@AllForOneMaintenance.com</t>
  </si>
  <si>
    <t>Firstcall Painting</t>
  </si>
  <si>
    <t>Boghain Dumitru</t>
  </si>
  <si>
    <t>office@firstcallpainting.co.uk</t>
  </si>
  <si>
    <t>07436 487098</t>
  </si>
  <si>
    <t>C4 Plus Drainage</t>
  </si>
  <si>
    <t>Drainage</t>
  </si>
  <si>
    <t>accounts@c4plusdrainage.co.uk</t>
  </si>
  <si>
    <t>07496 438 688</t>
  </si>
  <si>
    <t>Aquevo</t>
  </si>
  <si>
    <t>Raina Mendoza</t>
  </si>
  <si>
    <t>info@aquevo.co.uk</t>
  </si>
  <si>
    <t>02089066285</t>
  </si>
  <si>
    <t xml:space="preserve">Super Efficient / Total Wipeout </t>
  </si>
  <si>
    <t xml:space="preserve">Drainage </t>
  </si>
  <si>
    <t>Sophie-Marie Clegg</t>
  </si>
  <si>
    <t>info@superefficient.co.uk</t>
  </si>
  <si>
    <t>0203 150 5151</t>
  </si>
  <si>
    <t>Alpha PM Group</t>
  </si>
  <si>
    <t>Electrical</t>
  </si>
  <si>
    <t>ryan sarsfield</t>
  </si>
  <si>
    <t>info@alphapmgroup.co.uk</t>
  </si>
  <si>
    <t xml:space="preserve">Electrician Network </t>
  </si>
  <si>
    <t>Clirim</t>
  </si>
  <si>
    <t>clirimmetkaj@yahoo.com</t>
  </si>
  <si>
    <t xml:space="preserve">London Electrical </t>
  </si>
  <si>
    <t xml:space="preserve">Mo </t>
  </si>
  <si>
    <t>info@londonselectricalservices.com</t>
  </si>
  <si>
    <t>07500556335/07845754860/ 02080503424</t>
  </si>
  <si>
    <t>UNLMTD</t>
  </si>
  <si>
    <t>info@unlmtdelectrical.group</t>
  </si>
  <si>
    <t>Yorkman Electrical Services</t>
  </si>
  <si>
    <t>Perry Norman</t>
  </si>
  <si>
    <t>Perry.Norman@yorkmangroup.com</t>
  </si>
  <si>
    <t>Better Green</t>
  </si>
  <si>
    <t>Tom Dodson</t>
  </si>
  <si>
    <t xml:space="preserve">	Tom@better-green.com</t>
  </si>
  <si>
    <t>MD Fire Doors</t>
  </si>
  <si>
    <t>Fire Doors</t>
  </si>
  <si>
    <t>Jade Luker</t>
  </si>
  <si>
    <t>jade@mdfiredoors.com</t>
  </si>
  <si>
    <t>01184693603</t>
  </si>
  <si>
    <t>Cope Group</t>
  </si>
  <si>
    <t>Fire Safety</t>
  </si>
  <si>
    <t>Valentin Valkov</t>
  </si>
  <si>
    <t>val@copegroup.co.uk</t>
  </si>
  <si>
    <t xml:space="preserve">H K Safety Services </t>
  </si>
  <si>
    <t xml:space="preserve">Fire Safety </t>
  </si>
  <si>
    <t>Allwood Flooring Installations Ltd</t>
  </si>
  <si>
    <t>Flooring</t>
  </si>
  <si>
    <t>Liam O'reilly</t>
  </si>
  <si>
    <t>liam.allwood1@sky.com</t>
  </si>
  <si>
    <t>07930461910 / 0208 933 6060</t>
  </si>
  <si>
    <t>FCC FLOORING </t>
  </si>
  <si>
    <t>Mehrab Fazli</t>
  </si>
  <si>
    <t>contact@fccflooring.co.uk  </t>
  </si>
  <si>
    <t>07401887850       </t>
  </si>
  <si>
    <t>Floornova</t>
  </si>
  <si>
    <t>Paul Moss</t>
  </si>
  <si>
    <t>floornova@hotmail.com</t>
  </si>
  <si>
    <t xml:space="preserve">London Flooring </t>
  </si>
  <si>
    <t>Simon Williams</t>
  </si>
  <si>
    <t>Simon.Williams@hksafetyservices.co.uk</t>
  </si>
  <si>
    <t>Vaktchev Group Ltd</t>
  </si>
  <si>
    <t>hello@firstclassfloorsanding.co.uk</t>
  </si>
  <si>
    <t>16/04/2026</t>
  </si>
  <si>
    <t>London Premier Floors</t>
  </si>
  <si>
    <t>contact@londonpremiumfloors.com</t>
  </si>
  <si>
    <t>07401887850</t>
  </si>
  <si>
    <t>North London Gardening</t>
  </si>
  <si>
    <t>Olcan Guneri</t>
  </si>
  <si>
    <t>olcanguneri@gmail.com</t>
  </si>
  <si>
    <t>Hun gardeners</t>
  </si>
  <si>
    <t xml:space="preserve">Gardening  </t>
  </si>
  <si>
    <t>Robert</t>
  </si>
  <si>
    <t>hungardeners@gmail.com</t>
  </si>
  <si>
    <t>07460 545 206</t>
  </si>
  <si>
    <t xml:space="preserve">London Landscaping </t>
  </si>
  <si>
    <t>londonlandscaping12@gmail.com</t>
  </si>
  <si>
    <t>AM Web Property Services</t>
  </si>
  <si>
    <t>General</t>
  </si>
  <si>
    <t>Warren Webber</t>
  </si>
  <si>
    <t>amwebpropertyservices@yahoo.co.uk</t>
  </si>
  <si>
    <t>24/08/2026</t>
  </si>
  <si>
    <t>Equip builders</t>
  </si>
  <si>
    <t xml:space="preserve">Adam </t>
  </si>
  <si>
    <t>quote@equipbuilders.co.uk</t>
  </si>
  <si>
    <t>Home Improvements</t>
  </si>
  <si>
    <t>Leon Williams</t>
  </si>
  <si>
    <t>leon.willams@outlook.com</t>
  </si>
  <si>
    <t>13/08/2026</t>
  </si>
  <si>
    <t>Instant Maintenance</t>
  </si>
  <si>
    <t>bookings@instantmaintenanceservices.com</t>
  </si>
  <si>
    <t>207 501 4043</t>
  </si>
  <si>
    <t>Krasimir Fiziev</t>
  </si>
  <si>
    <t>Refurbs</t>
  </si>
  <si>
    <t>krasimirfiziev@gmail.com</t>
  </si>
  <si>
    <t xml:space="preserve"> 7463 699795</t>
  </si>
  <si>
    <t>Medina Maintenance LTD</t>
  </si>
  <si>
    <t>Dario Medina</t>
  </si>
  <si>
    <t>medinamaintenanceltd@gmail.com</t>
  </si>
  <si>
    <t>07984195639</t>
  </si>
  <si>
    <t>One Point Services</t>
  </si>
  <si>
    <t>Imran Patel</t>
  </si>
  <si>
    <t>works@onepointservices.co.uk</t>
  </si>
  <si>
    <t>Paul fletcher</t>
  </si>
  <si>
    <t>Flooring, Carpets</t>
  </si>
  <si>
    <t>paulcarpets100@yahoo.com</t>
  </si>
  <si>
    <t>07889 994031</t>
  </si>
  <si>
    <t>Rui Abreu</t>
  </si>
  <si>
    <t>ruisilvabreu@gmail.com</t>
  </si>
  <si>
    <t>High Point Property Maintenance</t>
  </si>
  <si>
    <t>Helena Harry</t>
  </si>
  <si>
    <t>infohighpointproperty@gmail.com</t>
  </si>
  <si>
    <t>07733784779</t>
  </si>
  <si>
    <t>Muharam Yuksel</t>
  </si>
  <si>
    <t>mar_ram@hotmail.co.uk</t>
  </si>
  <si>
    <t>07752194742</t>
  </si>
  <si>
    <t xml:space="preserve">Rob - Rowby </t>
  </si>
  <si>
    <t xml:space="preserve">General </t>
  </si>
  <si>
    <t>Lori-Anne Edwards</t>
  </si>
  <si>
    <t>finance@rowby.co.uk</t>
  </si>
  <si>
    <t>2081491286 / 7304093277</t>
  </si>
  <si>
    <t>A&amp;F Property Maintenance Construction Solutions</t>
  </si>
  <si>
    <t>Francesco Macheda</t>
  </si>
  <si>
    <t xml:space="preserve">2afpropertymaintenance@gmail.com/  frankosmako@gmail.com (FRIDAY ONLY) </t>
  </si>
  <si>
    <t>Anywhere East London - (Some Parts of SE london)</t>
  </si>
  <si>
    <t>Eurosafe Compliance Ltd</t>
  </si>
  <si>
    <t>Lighting Protection / Electrical Testing</t>
  </si>
  <si>
    <t>Eurosafe</t>
  </si>
  <si>
    <t>infouk@eurosafesolutions.com</t>
  </si>
  <si>
    <t xml:space="preserve">Steel Gates and Stairs </t>
  </si>
  <si>
    <t xml:space="preserve">Metal / Steel works </t>
  </si>
  <si>
    <t>Miguel</t>
  </si>
  <si>
    <t>info@steelgatesandstairs.net</t>
  </si>
  <si>
    <t>Anywhere within M25</t>
  </si>
  <si>
    <t xml:space="preserve">Rosecrest Group </t>
  </si>
  <si>
    <t>Rosecrest</t>
  </si>
  <si>
    <t>rge@rosecrestgroupltd.co.uk</t>
  </si>
  <si>
    <t>020 4576 5317</t>
  </si>
  <si>
    <t>21/08/2026</t>
  </si>
  <si>
    <t>Antonio Manuel Carneiro da Silva</t>
  </si>
  <si>
    <t>Painting and Decorating</t>
  </si>
  <si>
    <t>Antonio Da Silva</t>
  </si>
  <si>
    <t>silva.remodelling@gmail.com</t>
  </si>
  <si>
    <t>Bryon Buckley</t>
  </si>
  <si>
    <t>bbuckley9@hotmail.com</t>
  </si>
  <si>
    <t xml:space="preserve">S&amp;C  </t>
  </si>
  <si>
    <t>Soni</t>
  </si>
  <si>
    <t>info@sandcgreatcoat.co.uk</t>
  </si>
  <si>
    <t>JEH Plumbing</t>
  </si>
  <si>
    <t>James Hawgood</t>
  </si>
  <si>
    <t>callout@jehplumbing.co.uk</t>
  </si>
  <si>
    <t>01322631745 / 07894509728</t>
  </si>
  <si>
    <t>Plumbing Immediately</t>
  </si>
  <si>
    <t>plumbingimmediatelylondon@gmail.com</t>
  </si>
  <si>
    <t>King Refurbishments</t>
  </si>
  <si>
    <t>Refurbishments</t>
  </si>
  <si>
    <t>Tiago Fidalgo</t>
  </si>
  <si>
    <t>07917 571 116</t>
  </si>
  <si>
    <t>Elvis Hoti</t>
  </si>
  <si>
    <t xml:space="preserve">  </t>
  </si>
  <si>
    <t>hotielvis7@gmail.com</t>
  </si>
  <si>
    <t>07488 826299</t>
  </si>
  <si>
    <t>Build &amp; Design</t>
  </si>
  <si>
    <t>Thomas Dziewiatkowski</t>
  </si>
  <si>
    <t xml:space="preserve">	thomas.builders@yahoo.com</t>
  </si>
  <si>
    <t>02076463435 / 07984165045</t>
  </si>
  <si>
    <t>Gulliver Timber Treatment Ltd</t>
  </si>
  <si>
    <t>Rising Damp Specialist</t>
  </si>
  <si>
    <t>Structural Waterproofing, Rising Damp, Woodworm &amp; Dry Rot Treatment</t>
  </si>
  <si>
    <t>Sam / David</t>
  </si>
  <si>
    <t>enquiries@gullivertt.co.uk sam@gullivertt.co.uk</t>
  </si>
  <si>
    <t>01959 524 966</t>
  </si>
  <si>
    <t xml:space="preserve">Sams Gutters </t>
  </si>
  <si>
    <t xml:space="preserve">Roofer and Guttering </t>
  </si>
  <si>
    <t xml:space="preserve">Tom </t>
  </si>
  <si>
    <t>tom@samsgutters.net</t>
  </si>
  <si>
    <t>t: 0204 5247 975 / m: 07867 596 654    </t>
  </si>
  <si>
    <t>Buckley Roofing and Building Limited</t>
  </si>
  <si>
    <t>Roofing</t>
  </si>
  <si>
    <t>Danny Buckley</t>
  </si>
  <si>
    <t>danny@buckleyroofing.co.uk</t>
  </si>
  <si>
    <t>Clayton Roofing</t>
  </si>
  <si>
    <t>Chris/Susan</t>
  </si>
  <si>
    <t>claytonroofing@yahoo.co.uk</t>
  </si>
  <si>
    <t>07966 225 338</t>
  </si>
  <si>
    <t>Steve SCR</t>
  </si>
  <si>
    <t>Steve</t>
  </si>
  <si>
    <t>steve915@btinternet.com</t>
  </si>
  <si>
    <t>07971 171 363</t>
  </si>
  <si>
    <t>Yorkston Builder</t>
  </si>
  <si>
    <t>Drone Surveys</t>
  </si>
  <si>
    <t>Alexander Yorkston</t>
  </si>
  <si>
    <t>yorkstonbuilders@hotmail.co.uk</t>
  </si>
  <si>
    <t>ANR Roofing &amp; Lofts</t>
  </si>
  <si>
    <t>Guttering, lofts</t>
  </si>
  <si>
    <t>Louise Morgan</t>
  </si>
  <si>
    <t xml:space="preserve">	info@anrroofingandloftsltd.co.uk</t>
  </si>
  <si>
    <t>07450457162 / 07946108230</t>
  </si>
  <si>
    <t>Exterior Roofing &amp; Construction Ltd</t>
  </si>
  <si>
    <t>George Yiangou</t>
  </si>
  <si>
    <t>exteriorroofingandconstruction@outlook.com</t>
  </si>
  <si>
    <t>07702005824</t>
  </si>
  <si>
    <t>Arnold Scaffolding A.S.L</t>
  </si>
  <si>
    <t>Scaffolding</t>
  </si>
  <si>
    <t>Archie Arnold</t>
  </si>
  <si>
    <t>aslscaff@hotmail.com</t>
  </si>
  <si>
    <t>07739 898 265</t>
  </si>
  <si>
    <t>22/04/2026</t>
  </si>
  <si>
    <t>Clapham Scaffolding</t>
  </si>
  <si>
    <t xml:space="preserve">Scaffolding </t>
  </si>
  <si>
    <t>Tom McGowen</t>
  </si>
  <si>
    <t>claphamscaffoldingservices@gmail.com</t>
  </si>
  <si>
    <t>07555 078 916</t>
  </si>
  <si>
    <t xml:space="preserve">HB Scaffolding </t>
  </si>
  <si>
    <t>Bradley Williamson</t>
  </si>
  <si>
    <t>hbscaffoldingservicesltd@outlook.com</t>
  </si>
  <si>
    <t>JNT Scaffolding</t>
  </si>
  <si>
    <t>jntscaffoldingltd@outlook.com</t>
  </si>
  <si>
    <t>30/08/2026</t>
  </si>
  <si>
    <t>Richard &amp; Bertie Guczki</t>
  </si>
  <si>
    <t>Steel Work</t>
  </si>
  <si>
    <t>Richard</t>
  </si>
  <si>
    <t>badber2001@gmail.com</t>
  </si>
  <si>
    <t>07834 767 359</t>
  </si>
  <si>
    <t>McMarble Ltd</t>
  </si>
  <si>
    <t>Stonework</t>
  </si>
  <si>
    <t>Cesar</t>
  </si>
  <si>
    <t>info@mcmarbleltd.co.uk, cesar.74@hotmail.co.uk</t>
  </si>
  <si>
    <t>07776251313/0208 127 5254</t>
  </si>
  <si>
    <t>AKSESS Structural Engineering Solutions Ltd</t>
  </si>
  <si>
    <t>Structural Engineering</t>
  </si>
  <si>
    <t>Aziz Kochek</t>
  </si>
  <si>
    <t>ak@aksess.co.uk</t>
  </si>
  <si>
    <t>0208 296 0738</t>
  </si>
  <si>
    <t>Mainmark</t>
  </si>
  <si>
    <t>Hossein Khansari</t>
  </si>
  <si>
    <t>hkhansari@mainmark.com</t>
  </si>
  <si>
    <t>+44 (0)8009 750 507</t>
  </si>
  <si>
    <t>Bespoke Landscapes</t>
  </si>
  <si>
    <t>Nick</t>
  </si>
  <si>
    <t>bespokelandscapes@hotmail.co.uk</t>
  </si>
  <si>
    <t>07880 362 227</t>
  </si>
  <si>
    <t xml:space="preserve">Trade Windows </t>
  </si>
  <si>
    <t>UPVC Windows/Doors</t>
  </si>
  <si>
    <t>Amanda</t>
  </si>
  <si>
    <t>Amanda@tradewindowsonline.co.uk</t>
  </si>
  <si>
    <t>020 8504 6766</t>
  </si>
  <si>
    <t>Waste Relief Ltd</t>
  </si>
  <si>
    <t>Waste Removal</t>
  </si>
  <si>
    <t>Bulk Collection, Gardening</t>
  </si>
  <si>
    <t>Prince Gibbons</t>
  </si>
  <si>
    <t>prince@wasterelief.co.uk</t>
  </si>
  <si>
    <t>Jake Heard</t>
  </si>
  <si>
    <t>Window Cleaning</t>
  </si>
  <si>
    <t>Jakeheard@hotmail.co.uk</t>
  </si>
  <si>
    <t>Paulo Windows</t>
  </si>
  <si>
    <t>Window cleaning</t>
  </si>
  <si>
    <t>Paulo</t>
  </si>
  <si>
    <t>infoprimereach@gmail.com</t>
  </si>
  <si>
    <t>07838 703 732</t>
  </si>
  <si>
    <t>OB Windows - Ozzie Butler</t>
  </si>
  <si>
    <t>Windows</t>
  </si>
  <si>
    <t>Ozzie Butler</t>
  </si>
  <si>
    <t>obwindows@hotmail.co.uk</t>
  </si>
  <si>
    <t>Junction Joinery</t>
  </si>
  <si>
    <t>Joinery</t>
  </si>
  <si>
    <t>Murphy Bici</t>
  </si>
  <si>
    <t>junctionjoinery@gmail.com</t>
  </si>
  <si>
    <t>07732 234 050</t>
  </si>
  <si>
    <t>Ridgemore Ltd</t>
  </si>
  <si>
    <t>Abestos</t>
  </si>
  <si>
    <t>07377529592 / 02081917025</t>
  </si>
  <si>
    <t>Brightside Services</t>
  </si>
  <si>
    <t>Steven Taylor</t>
  </si>
  <si>
    <t>steven.taylor@brightsideservices.uk</t>
  </si>
  <si>
    <t>07824163895 </t>
  </si>
  <si>
    <t>Garfield Stewart</t>
  </si>
  <si>
    <t>Pumafresh@hotmail.co.uk</t>
  </si>
  <si>
    <t>07311575771</t>
  </si>
  <si>
    <t>Reflections Stained Glass</t>
  </si>
  <si>
    <t>Wil Fernandez</t>
  </si>
  <si>
    <t>Info@reflectionsstainedglass.co.uk</t>
  </si>
  <si>
    <t>07807678611</t>
  </si>
  <si>
    <t>CLIENT S.L.A TABLE</t>
  </si>
  <si>
    <t>CLIENT</t>
  </si>
  <si>
    <t>WORKS ORDER REQUIRED?</t>
  </si>
  <si>
    <t>Deposit can be sent?</t>
  </si>
  <si>
    <t>QR &amp; JR Reply to Emails</t>
  </si>
  <si>
    <t>SPEND LIMIT</t>
  </si>
  <si>
    <t>COMMISION</t>
  </si>
  <si>
    <t>INVOICE CC'</t>
  </si>
  <si>
    <t>QUOTE CC'</t>
  </si>
  <si>
    <t>PAYMENT TERMS</t>
  </si>
  <si>
    <t>AVERAGE NO OF DAYS IT TAKES TO BE PAID</t>
  </si>
  <si>
    <t>PAYMENT RUN DATES</t>
  </si>
  <si>
    <t>NO. OF DAYS IT TAKES PAYMENT TO HIT OUR ACCOUNTS</t>
  </si>
  <si>
    <t>ADDITIONAL INFO</t>
  </si>
  <si>
    <t>M</t>
  </si>
  <si>
    <t>TU</t>
  </si>
  <si>
    <t>W</t>
  </si>
  <si>
    <t>TH</t>
  </si>
  <si>
    <t>F</t>
  </si>
  <si>
    <t>Allen Heritage</t>
  </si>
  <si>
    <t>Yes</t>
  </si>
  <si>
    <t>a</t>
  </si>
  <si>
    <t>See works order</t>
  </si>
  <si>
    <t>-</t>
  </si>
  <si>
    <t>nicola@allenheritage.co.uk or Fixflow</t>
  </si>
  <si>
    <t>30 days</t>
  </si>
  <si>
    <t>Apna Ghar</t>
  </si>
  <si>
    <t>jerald@apnaghar.org.uk</t>
  </si>
  <si>
    <t>Once a month invoice statement to be sent to jerald@apnaghar.org.uk</t>
  </si>
  <si>
    <t>propertymanagement@atkinsonmcleod.com</t>
  </si>
  <si>
    <t>Once a month invoice statement to be sent to amanda@atkinsonmcleod.com</t>
  </si>
  <si>
    <t>Arriva Rail</t>
  </si>
  <si>
    <t>Yes - PO</t>
  </si>
  <si>
    <t>See purchase order</t>
  </si>
  <si>
    <t>purchase.invoice@arrivarl.co.uk</t>
  </si>
  <si>
    <r>
      <rPr>
        <b/>
        <sz val="11"/>
        <color rgb="FF000000"/>
        <rFont val="Calibri Light"/>
        <family val="2"/>
        <scheme val="major"/>
      </rPr>
      <t xml:space="preserve">for statements and queries: accounts.payable@arrivarl.co.uk </t>
    </r>
    <r>
      <rPr>
        <b/>
        <sz val="11"/>
        <color rgb="FFFF0000"/>
        <rFont val="Calibri Light"/>
        <family val="2"/>
        <scheme val="major"/>
      </rPr>
      <t>DO NOT SEND PHOTOS AS THEY GET REPORT</t>
    </r>
  </si>
  <si>
    <t>Yes - Will be sent through Fixflo</t>
  </si>
  <si>
    <t>r</t>
  </si>
  <si>
    <t>Address to C/o Aspire Estate Agents</t>
  </si>
  <si>
    <t>Please address invoice to Landlord.</t>
  </si>
  <si>
    <t>Avenues</t>
  </si>
  <si>
    <t>Repairs@avenuesgroup.org.uk</t>
  </si>
  <si>
    <t>Barnard Marcus</t>
  </si>
  <si>
    <t>Chase with person who sent WO.</t>
  </si>
  <si>
    <t>Mats and labour to be separated on quote and invoice. Invoices to be addressed to LL</t>
  </si>
  <si>
    <t>Please ensure LL's name is on the invoice</t>
  </si>
  <si>
    <t>propertymanagement@bhhslondon.com</t>
  </si>
  <si>
    <t>40 days</t>
  </si>
  <si>
    <t>Blocsphere Property Management</t>
  </si>
  <si>
    <t>Check WO for correct address must be Block Company C/O Blocsphere Property Managment</t>
  </si>
  <si>
    <t>Bold and Reeces</t>
  </si>
  <si>
    <t>No</t>
  </si>
  <si>
    <t>10% over £250</t>
  </si>
  <si>
    <t>oliver@bps.london</t>
  </si>
  <si>
    <t>Brik Property Ltd</t>
  </si>
  <si>
    <t>rudi@brik.co.uk</t>
  </si>
  <si>
    <t>Brinkley Estates</t>
  </si>
  <si>
    <t>Contractor@brinkleys.co.uk</t>
  </si>
  <si>
    <t>Butler &amp; Stag LTD</t>
  </si>
  <si>
    <t>propertymanagement@butlerandstag.com</t>
  </si>
  <si>
    <t>14 days</t>
  </si>
  <si>
    <t>Carey Gardens Co-operative Ltd</t>
  </si>
  <si>
    <t>accounts@careygardens.co.uk ONLY</t>
  </si>
  <si>
    <t>Payment run every 2 weeks.</t>
  </si>
  <si>
    <t>Include completion date on invoice.</t>
  </si>
  <si>
    <t>Caretech</t>
  </si>
  <si>
    <r>
      <rPr>
        <b/>
        <u/>
        <sz val="11"/>
        <color rgb="FF000000"/>
        <rFont val="Calibri"/>
        <family val="2"/>
        <scheme val="minor"/>
      </rPr>
      <t xml:space="preserve">ONLY
</t>
    </r>
    <r>
      <rPr>
        <b/>
        <sz val="11"/>
        <color rgb="FF000000"/>
        <rFont val="Calibri"/>
        <family val="2"/>
        <scheme val="minor"/>
      </rPr>
      <t>Estates@caretech-uk.com
EstatesHelpdesk6@caretech-uk.com</t>
    </r>
  </si>
  <si>
    <t>45 days</t>
  </si>
  <si>
    <t>Payment run in the middle and end of the month</t>
  </si>
  <si>
    <t>Chase Estates@caretech-uk.com but if no response contact Robert.White@caretech-uk.com to chase.</t>
  </si>
  <si>
    <t>Carlisle</t>
  </si>
  <si>
    <t>cleaninginvoices@css.co.uk</t>
  </si>
  <si>
    <t>Carter Gem</t>
  </si>
  <si>
    <t>invoicing@casa-londra.com</t>
  </si>
  <si>
    <t>CAYSH</t>
  </si>
  <si>
    <t>No (But must have WO no)</t>
  </si>
  <si>
    <t>hm@caysh.org</t>
  </si>
  <si>
    <t>Chase only HM@caysh.org not the PM.</t>
  </si>
  <si>
    <t>Chelsea Heritage</t>
  </si>
  <si>
    <t>Confirmation via email</t>
  </si>
  <si>
    <t>Chestertons</t>
  </si>
  <si>
    <r>
      <rPr>
        <b/>
        <sz val="11"/>
        <color rgb="FF000000"/>
        <rFont val="Calibri Light"/>
        <family val="2"/>
        <scheme val="major"/>
      </rPr>
      <t>15%</t>
    </r>
    <r>
      <rPr>
        <b/>
        <sz val="11"/>
        <color rgb="FFFF0000"/>
        <rFont val="Calibri Light"/>
        <family val="2"/>
        <scheme val="major"/>
      </rPr>
      <t>*</t>
    </r>
  </si>
  <si>
    <t>Chisel</t>
  </si>
  <si>
    <t>invoices@chisel.org.uk</t>
  </si>
  <si>
    <t>30 days invoices must be received by 15th of the Calender month to be paid 30 days at the end of the following month</t>
  </si>
  <si>
    <t>Crown Home</t>
  </si>
  <si>
    <t>Co-op Homes</t>
  </si>
  <si>
    <t>Coopers of London</t>
  </si>
  <si>
    <t>£200+VAT</t>
  </si>
  <si>
    <t>Daniel Watney</t>
  </si>
  <si>
    <r>
      <t xml:space="preserve">See WO for the customer address details needed on invoice
</t>
    </r>
    <r>
      <rPr>
        <b/>
        <u/>
        <sz val="11"/>
        <color rgb="FF000000"/>
        <rFont val="Calibri Light"/>
        <family val="2"/>
        <scheme val="major"/>
      </rPr>
      <t>Needs to uploaded to Dwellant</t>
    </r>
  </si>
  <si>
    <t>Statements monthly (client, address, date of invoice, invoice no and invoice amount).
Best person to chase invoices is: Jane Browne - jbrowne@danielwatney.co.uk</t>
  </si>
  <si>
    <t>Davies &amp; Davies</t>
  </si>
  <si>
    <t>management@daviesdavies.co.uk</t>
  </si>
  <si>
    <t>Direct Residential</t>
  </si>
  <si>
    <t>admin@directresidential.co.uk</t>
  </si>
  <si>
    <t>Upload to Fixflo</t>
  </si>
  <si>
    <r>
      <rPr>
        <b/>
        <sz val="11"/>
        <color rgb="FF000000"/>
        <rFont val="Calibri Light"/>
        <family val="2"/>
        <scheme val="major"/>
      </rPr>
      <t xml:space="preserve">Appointment date, quotes and invoices must be uploaded on Fixflo..
</t>
    </r>
    <r>
      <rPr>
        <b/>
        <u val="double"/>
        <sz val="11"/>
        <color rgb="FF000000"/>
        <rFont val="Calibri Light"/>
        <family val="2"/>
        <scheme val="major"/>
      </rPr>
      <t>DO NOT CHASE UNTIL OVERDUE</t>
    </r>
  </si>
  <si>
    <t>Dobbin and Sullivan Ltd</t>
  </si>
  <si>
    <t>mo.aina@dobbinandsullivan.com</t>
  </si>
  <si>
    <t>finance@dolcevita.vip</t>
  </si>
  <si>
    <t>£250 (inc VAT)</t>
  </si>
  <si>
    <t>Upload to Fixflo and sent to PM</t>
  </si>
  <si>
    <t>mail@emmasestateagents.co.uk</t>
  </si>
  <si>
    <t>Evolve Housing</t>
  </si>
  <si>
    <t>£350</t>
  </si>
  <si>
    <t>Weekly invoices send to:
ruby.jackson@evolvehousing.org.uk
facilities@evolvehousing.org.uk
accounts@evolvehousing.org.uk</t>
  </si>
  <si>
    <t>facilities@evolvehousing.co.uk</t>
  </si>
  <si>
    <t>Need to contact accounts or Ruby Jackson for next payment run date.</t>
  </si>
  <si>
    <t>Felicity J Lord</t>
  </si>
  <si>
    <t>Foster &amp; Edwards</t>
  </si>
  <si>
    <t>admin@fosterandedwards.com</t>
  </si>
  <si>
    <t>propertymanagement@goviewlondon.co.uk</t>
  </si>
  <si>
    <t>Grove Park Properties</t>
  </si>
  <si>
    <t>End of each month</t>
  </si>
  <si>
    <t>Hamptons International</t>
  </si>
  <si>
    <t>PMInvoices@hamptons.co.uk</t>
  </si>
  <si>
    <t>Invoice must have landlords name (only on invoices), any queries regarding invoices / remittance email queryinvoices@hamptons.co.uk</t>
  </si>
  <si>
    <t>Harrison Housing</t>
  </si>
  <si>
    <t>finance@harrisonhousing.org.uk</t>
  </si>
  <si>
    <t>Hello Neighbour</t>
  </si>
  <si>
    <t>email PM</t>
  </si>
  <si>
    <t>Payment run on the first week of the month</t>
  </si>
  <si>
    <t>payments@hestia.org</t>
  </si>
  <si>
    <t>accounts@heywood-p.co.uk</t>
  </si>
  <si>
    <t>Approx every 2 weeks</t>
  </si>
  <si>
    <t>Homewood Homes</t>
  </si>
  <si>
    <t>Horniman</t>
  </si>
  <si>
    <t>invoices@horniman.ac.uk</t>
  </si>
  <si>
    <t>ILGS Ltd T/A Newbrix</t>
  </si>
  <si>
    <t>Yes via email</t>
  </si>
  <si>
    <t>See work order</t>
  </si>
  <si>
    <t>akhil@newbrix.co.uk</t>
  </si>
  <si>
    <t>Statements to be sent to joyce@jcliving.co.uk</t>
  </si>
  <si>
    <t>JD Group</t>
  </si>
  <si>
    <t>accounts.payable@jdplc.com</t>
  </si>
  <si>
    <t>residential.invoices@eu.jll.com</t>
  </si>
  <si>
    <t>Must be addressed as follows "Landlord Name, C/O JLL"</t>
  </si>
  <si>
    <t>John D Wood</t>
  </si>
  <si>
    <t>Ensure it is sent to PM who directs the works and check address on WO. Acounts No. 01623885555. Payment runs Monday / Wednesday / Fridays, as soon as uploaded if funds on account will be on the next payment run</t>
  </si>
  <si>
    <t>Johns &amp; CO</t>
  </si>
  <si>
    <t>JSE Property Management</t>
  </si>
  <si>
    <t>Key Property Consultants</t>
  </si>
  <si>
    <t>ope@keypropertyconsultants.co.uk</t>
  </si>
  <si>
    <t>Kinleigh Folkard and Hayward</t>
  </si>
  <si>
    <t>pminvoices@kfh.co.uk</t>
  </si>
  <si>
    <t>send to kdawkins@kfh.co.uk by the 5th of every month, overdue only. If none please email her to confirm.</t>
  </si>
  <si>
    <t>Kinleigh Folkard And Hayward (Block)</t>
  </si>
  <si>
    <t>bminvoices@kfh.co.uk</t>
  </si>
  <si>
    <t>Lee Abbey London</t>
  </si>
  <si>
    <t>Upload to Fixflo and send email ccing in pmsupplierinvoices@liferesidential.co.uk</t>
  </si>
  <si>
    <t>email rebecca.cannon@liferesidential.co.uk to chase payments</t>
  </si>
  <si>
    <t>`</t>
  </si>
  <si>
    <t>Lionsgate</t>
  </si>
  <si>
    <t>£250+VAT</t>
  </si>
  <si>
    <t>Lurot Brand
DO NOT USE  - BLACKLISTED</t>
  </si>
  <si>
    <t>See original email</t>
  </si>
  <si>
    <t>Mace Housing Co-op</t>
  </si>
  <si>
    <t>0% - but penalty if past response time.</t>
  </si>
  <si>
    <t>Madison Brook</t>
  </si>
  <si>
    <t>Management Habitat Investments</t>
  </si>
  <si>
    <t>£250</t>
  </si>
  <si>
    <t>invoices@marlerandmarler.co.uk</t>
  </si>
  <si>
    <t>To be addressed to each LL</t>
  </si>
  <si>
    <t>See work order (but for emergencies up to £500, confirm with PM)</t>
  </si>
  <si>
    <t>Invoices@marshandparsons.co.uk</t>
  </si>
  <si>
    <t>When chasing income email Wissale Yousfi (Accounts) - wyousfi@marshandparsons.co.uk</t>
  </si>
  <si>
    <t>Mason &amp; Fifth</t>
  </si>
  <si>
    <t>MUST BE ADDRESSED TO Firethorn Property Holdings Limited</t>
  </si>
  <si>
    <t>MUST HAVE PURCHASE ORDER</t>
  </si>
  <si>
    <t>Mission Housing Limited</t>
  </si>
  <si>
    <t>sarah@missionhousing.org.uk</t>
  </si>
  <si>
    <t>management@napierwatt.co.uk</t>
  </si>
  <si>
    <t>Payments average is 5-10 days unless there is problem wit a call out.
Allow for 5 days to accept quote before charging for callout.</t>
  </si>
  <si>
    <t>NHS Property Services</t>
  </si>
  <si>
    <r>
      <t xml:space="preserve">LOAD TO TRADESHIFT
</t>
    </r>
    <r>
      <rPr>
        <b/>
        <sz val="11"/>
        <color theme="1"/>
        <rFont val="Calibri Light"/>
        <family val="2"/>
        <scheme val="major"/>
      </rPr>
      <t>Supplierinvitation@tradeshift.com</t>
    </r>
  </si>
  <si>
    <t>invoices@oigrealestate.com</t>
  </si>
  <si>
    <t>Add an hour to quote</t>
  </si>
  <si>
    <t>Oliver Burn Residential</t>
  </si>
  <si>
    <t>See Email</t>
  </si>
  <si>
    <t>accounts@oliverburn.com</t>
  </si>
  <si>
    <t>Oliver Jacques</t>
  </si>
  <si>
    <t>nicola@o-j.co.uk</t>
  </si>
  <si>
    <t>Email on the works order</t>
  </si>
  <si>
    <t>Portico</t>
  </si>
  <si>
    <t>Load to Fixflo</t>
  </si>
  <si>
    <t>Prime Property
DO NOT USE  - BLACKLISTED</t>
  </si>
  <si>
    <t>invoices@primepm.co.uk</t>
  </si>
  <si>
    <t>£200</t>
  </si>
  <si>
    <t>10% Deposit upfront
20% As soon we start on site
30% Once works are Half way 
35% on Completion
5% Rentention for 6 Months</t>
  </si>
  <si>
    <t>✔️ - 10%</t>
  </si>
  <si>
    <t>7 days</t>
  </si>
  <si>
    <t>Rampton Baseley Limited</t>
  </si>
  <si>
    <t>invoices@ramptonbaseley.co.uk</t>
  </si>
  <si>
    <t>Ensure it is sent to PM who directs the works and check address on WO.</t>
  </si>
  <si>
    <t>Rendall &amp; Rittner</t>
  </si>
  <si>
    <t>Yes - Unless in the case of an emergency</t>
  </si>
  <si>
    <t>Upload to Dwellant</t>
  </si>
  <si>
    <t>All invoices must be addressed as follows: “Name of Client XX Limited, C/o RR/RRH/RRR/RRE Ltd, 155-157 Minories, London EC3N 1LJ” or as directed by the Representative.</t>
  </si>
  <si>
    <t>maintenance@regent-property.com</t>
  </si>
  <si>
    <t>Appointment date, quotes and invoices must be uploaded on Fixflo</t>
  </si>
  <si>
    <t>rcarroll@lambeth.gov.uk</t>
  </si>
  <si>
    <t>Chase Robert Carroll when chasing invoices.
RCarroll@lambeth.gov.uk</t>
  </si>
  <si>
    <t>Simple Life</t>
  </si>
  <si>
    <t>Sovreign Network Group</t>
  </si>
  <si>
    <t>invoices@networkhomes.org.uk</t>
  </si>
  <si>
    <t>Spurgeons</t>
  </si>
  <si>
    <t>finance@spurgeons.org</t>
  </si>
  <si>
    <t>centralinvoices@stirlingackroyd.com</t>
  </si>
  <si>
    <t>Strangford Residence Management</t>
  </si>
  <si>
    <t>See WO for the 'address to' details needed on invoice</t>
  </si>
  <si>
    <t>Dependent on their clients payment runs. JB Abraham is at the end of each month.</t>
  </si>
  <si>
    <t>Strutt and Parker</t>
  </si>
  <si>
    <t>See work order for who to address invoice to.</t>
  </si>
  <si>
    <t>Swishbrook</t>
  </si>
  <si>
    <t>SW9 Community Housing.</t>
  </si>
  <si>
    <r>
      <rPr>
        <b/>
        <u val="double"/>
        <sz val="11"/>
        <color rgb="FF000000"/>
        <rFont val="Calibri Light"/>
        <family val="2"/>
        <scheme val="major"/>
      </rPr>
      <t xml:space="preserve">ONLY
</t>
    </r>
    <r>
      <rPr>
        <b/>
        <sz val="11"/>
        <color rgb="FF000000"/>
        <rFont val="Calibri Light"/>
        <family val="2"/>
        <scheme val="major"/>
      </rPr>
      <t>Aemiro.Kassa@sw9.org.uk
Repairs@sw9.org.uk
accounts@sw9.org.uk</t>
    </r>
  </si>
  <si>
    <t>Need to contact accounts for next payment run date.</t>
  </si>
  <si>
    <t>Allow 5 days to accept quote before charging for callout.</t>
  </si>
  <si>
    <t>SWA Ltd</t>
  </si>
  <si>
    <t>The Address</t>
  </si>
  <si>
    <t>Teaching Housing</t>
  </si>
  <si>
    <t>Invoices@teachershousing.org.uk</t>
  </si>
  <si>
    <t>Timestance</t>
  </si>
  <si>
    <t>Time2Move</t>
  </si>
  <si>
    <t>ONLY CHASE derick.barnor@time2move.com FOR INVOICE PAYMENTS</t>
  </si>
  <si>
    <t>TLC Estate Agents</t>
  </si>
  <si>
    <t>Yes - MUST HAVE PO NUMBER</t>
  </si>
  <si>
    <r>
      <t xml:space="preserve">SEND TO: 
invoices@touchstoneresi.co.uk &amp; Contractor.Management@touchstoneresi.co.uk
</t>
    </r>
    <r>
      <rPr>
        <b/>
        <i/>
        <sz val="9"/>
        <color rgb="FF000000"/>
        <rFont val="Calibri"/>
        <family val="2"/>
        <scheme val="minor"/>
      </rPr>
      <t>*MUST INCLUDE PO NUMBER IN EMAIL SUBJECT. THEN MARK JOB AS COMPLETED ON SALESFORCE*</t>
    </r>
  </si>
  <si>
    <t>Chase james.boraston@touchstoneresi.co.uk and PM.</t>
  </si>
  <si>
    <t>Trotters Estates</t>
  </si>
  <si>
    <t>enquiries@trottersestates.co.uk</t>
  </si>
  <si>
    <t>Victor Michael Limited</t>
  </si>
  <si>
    <t>Victoria Brindal</t>
  </si>
  <si>
    <t>Warren Ltd</t>
  </si>
  <si>
    <t>Winkworth - Battersea, Clapham, Kennington, Pimlico &amp; Westminster</t>
  </si>
  <si>
    <t>mhigson@winkworth.co.uk</t>
  </si>
  <si>
    <t>zwarid@winkworth.co.uk</t>
  </si>
  <si>
    <t>Payment runs once a month at the start of each month</t>
  </si>
  <si>
    <t>Winkworth - South Ken</t>
  </si>
  <si>
    <t>QUOTE STICKY NOTES</t>
  </si>
  <si>
    <t>PARKING DISCLAIMER – Customer notes</t>
  </si>
  <si>
    <t>Parking charges are not included within this cost and therefore you may wish to provide us with parking permits for the duration of the job. Alternatively parking costs and congestion charges (if necessary) will be included on your final invoice.</t>
  </si>
  <si>
    <t>ATTENDED QUOTE</t>
  </si>
  <si>
    <t>We attended the above address on  &lt;insert date&gt;  to undertake a visual inspection for quoting purposes</t>
  </si>
  <si>
    <t>Input Surveyors report and amend grammar, spelling accordingly.</t>
  </si>
  <si>
    <t>We have inserted the pictures taken during our visit that document our observations for your reference.</t>
  </si>
  <si>
    <t>We would recommend that the following scope of works are undertaken.</t>
  </si>
  <si>
    <t>UNATTENDED QUOTED</t>
  </si>
  <si>
    <t>We are happy to provide a quote for the requested works to the above address.</t>
  </si>
  <si>
    <t>We have inserted pictures provided to us that document the information we held at the time of creating this quote.</t>
  </si>
  <si>
    <t>PRICE / OFFERING LIST</t>
  </si>
  <si>
    <t>Item #</t>
  </si>
  <si>
    <t>Item Name / Description</t>
  </si>
  <si>
    <t>Price</t>
  </si>
  <si>
    <t>End of Tenancy Cleaning</t>
  </si>
  <si>
    <t>Studio Property</t>
  </si>
  <si>
    <t>1 Bedroom, 1 Bathroom property</t>
  </si>
  <si>
    <t xml:space="preserve">2 Bedroom, 1 Bathroom property </t>
  </si>
  <si>
    <t xml:space="preserve">2 Bedroom, 2 Bathroom property </t>
  </si>
  <si>
    <t>3 Bedroom, 1 Bathroom property</t>
  </si>
  <si>
    <t>3 Bedroom, 2 Bathroom property</t>
  </si>
  <si>
    <t>Every additional room is an extra 
£45.00</t>
  </si>
  <si>
    <t>Every additional bathroom is an extra 
£65.00</t>
  </si>
  <si>
    <t xml:space="preserve">Carpet cleaning </t>
  </si>
  <si>
    <t xml:space="preserve">Shampoo carpet cleaning per 
room/stair/hallway (if requested) </t>
  </si>
  <si>
    <t xml:space="preserve">Deep cleaning </t>
  </si>
  <si>
    <t xml:space="preserve">Deep cleaning (includes our cleaning 
products) </t>
  </si>
  <si>
    <t>£30.00 /hr / Cleaner</t>
  </si>
  <si>
    <t>Eco deep cleaning</t>
  </si>
  <si>
    <t>Deep cleaning (includes our eco cleaning 
products)</t>
  </si>
  <si>
    <t>£40.00 /hr / Cleaner</t>
  </si>
  <si>
    <t>Handyman service</t>
  </si>
  <si>
    <t>Furniture fix/assembly, toilet seat 
change, etc.</t>
  </si>
  <si>
    <t>£80.00 callout +£40/hr</t>
  </si>
  <si>
    <t>&gt; The end of tenancy cleaning price includes the balcony cleaning.</t>
  </si>
  <si>
    <t>&gt; The price includes 1 each appliances cleaning If there is more than 1 per appliance accrue extra charge.</t>
  </si>
  <si>
    <t>&gt; Prices are for guidance only. We reserve the right to change them.</t>
  </si>
  <si>
    <t>&gt; Please note that these prices are excluding VAT and excluding client commissions.</t>
  </si>
  <si>
    <t>HOMERUN CALL OUT CHARGE AS OF 13/02</t>
  </si>
  <si>
    <t>SE1: £70</t>
  </si>
  <si>
    <t>SE2: £70</t>
  </si>
  <si>
    <t>SE3: £65</t>
  </si>
  <si>
    <t>SE4: £65</t>
  </si>
  <si>
    <t>SE5: £70</t>
  </si>
  <si>
    <t>SE6: £65</t>
  </si>
  <si>
    <t>SE7: £70</t>
  </si>
  <si>
    <t>SE8: £65</t>
  </si>
  <si>
    <t>SE9: £65</t>
  </si>
  <si>
    <t>SE10: £70</t>
  </si>
  <si>
    <t>SE11: £70</t>
  </si>
  <si>
    <t>SE12: £65</t>
  </si>
  <si>
    <t>SE13: £65</t>
  </si>
  <si>
    <t>SE14: £65</t>
  </si>
  <si>
    <t>SE15: £65</t>
  </si>
  <si>
    <t>SE16: £70</t>
  </si>
  <si>
    <t>SE17: £70</t>
  </si>
  <si>
    <t>SE18: £70</t>
  </si>
  <si>
    <t>SE19: £65</t>
  </si>
  <si>
    <t>SE20: £65</t>
  </si>
  <si>
    <t>SE21: £65</t>
  </si>
  <si>
    <t>SE22: £65</t>
  </si>
  <si>
    <t>SE23: £65</t>
  </si>
  <si>
    <t>SE24: £65</t>
  </si>
  <si>
    <t>SE25: £65</t>
  </si>
  <si>
    <t>SE26: £65</t>
  </si>
  <si>
    <t>SE27: £65</t>
  </si>
  <si>
    <t>SE28: £70</t>
  </si>
  <si>
    <t>Any BR: £65</t>
  </si>
  <si>
    <t>Any CR: £65</t>
  </si>
  <si>
    <t>SW1: £80</t>
  </si>
  <si>
    <t>SW2: £65</t>
  </si>
  <si>
    <t>SW3: £80</t>
  </si>
  <si>
    <t>SW4: £65</t>
  </si>
  <si>
    <t>SW5: £80</t>
  </si>
  <si>
    <t>SW6: £80</t>
  </si>
  <si>
    <t>SW7: £80</t>
  </si>
  <si>
    <t>SW8: £65</t>
  </si>
  <si>
    <t>SW9: £65</t>
  </si>
  <si>
    <t>SW10: £80</t>
  </si>
  <si>
    <t>SW11: £70</t>
  </si>
  <si>
    <t>SW12: £65</t>
  </si>
  <si>
    <t>SW13: £75</t>
  </si>
  <si>
    <t>SW14: £75</t>
  </si>
  <si>
    <t>SW15: £75</t>
  </si>
  <si>
    <t>SW16: £65</t>
  </si>
  <si>
    <t>SW17: £65</t>
  </si>
  <si>
    <t>SW18: £70</t>
  </si>
  <si>
    <t>SW19: £70</t>
  </si>
  <si>
    <t>SW20: £70</t>
  </si>
  <si>
    <t>All of W Postcodes: £85+VAT</t>
  </si>
  <si>
    <t>All of NW postcodes: £85+VAT</t>
  </si>
  <si>
    <t>EXTERNAL DELIVERY CHECKER</t>
  </si>
  <si>
    <t>List down all the products as per E-works and the net prices (Please note that there are hidden rows of needed):</t>
  </si>
  <si>
    <t>Client</t>
  </si>
  <si>
    <t>Commision Rate:</t>
  </si>
  <si>
    <t>Product Name:</t>
  </si>
  <si>
    <t>Hourly or Daily Rate?</t>
  </si>
  <si>
    <t>Labour or Materials?</t>
  </si>
  <si>
    <t>Price (Exc. VAT)</t>
  </si>
  <si>
    <t>Hourly OH</t>
  </si>
  <si>
    <t>Daily OH</t>
  </si>
  <si>
    <t>storage area</t>
  </si>
  <si>
    <t>TOTAL</t>
  </si>
  <si>
    <t>Less commision</t>
  </si>
  <si>
    <t>Less overheads</t>
  </si>
  <si>
    <t>CIS HELPER - @ 20% reduction</t>
  </si>
  <si>
    <t>Total Cost to Optimal</t>
  </si>
  <si>
    <t>Less CIS Deduction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</si>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</sst>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quot;£&quot;#,##0.00"/>
    <numFmt numFmtId="165" formatCode="_-[$£-809]* #,##0.00_-;\-[$£-809]* #,##0.00_-;_-[$£-809]* &quot;-&quot;??_-;_-@_-"/>
    <numFmt numFmtId="166" formatCode="0.0%"/>
    <numFmt numFmtId="167" formatCode="dd/mm/yyyy;@"/>
  </numFmts>
  <fonts count="94">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u/>
      <sz val="11"/>
      <color theme="11"/>
      <name val="Calibri"/>
      <family val="2"/>
      <scheme val="minor"/>
    </font>
    <font>
      <b/>
      <sz val="18"/>
      <color theme="0"/>
      <name val="Calibri"/>
      <family val="2"/>
      <scheme val="minor"/>
    </font>
    <font>
      <b/>
      <sz val="24"/>
      <color theme="0"/>
      <name val="Century Gothic"/>
      <family val="1"/>
    </font>
    <font>
      <sz val="11"/>
      <color theme="0"/>
      <name val="Century Gothic"/>
      <family val="2"/>
    </font>
    <font>
      <b/>
      <u/>
      <sz val="11"/>
      <color theme="1"/>
      <name val="Calibri"/>
      <family val="2"/>
      <scheme val="minor"/>
    </font>
    <font>
      <b/>
      <i/>
      <sz val="11"/>
      <color theme="1"/>
      <name val="Calibri"/>
      <family val="2"/>
      <scheme val="minor"/>
    </font>
    <font>
      <b/>
      <u/>
      <sz val="13"/>
      <color theme="1"/>
      <name val="Calibri"/>
      <family val="2"/>
      <scheme val="minor"/>
    </font>
    <font>
      <sz val="11"/>
      <color rgb="FFFF0000"/>
      <name val="Calibri"/>
      <family val="2"/>
      <scheme val="minor"/>
    </font>
    <font>
      <sz val="11"/>
      <name val="Century Gothic"/>
      <family val="2"/>
    </font>
    <font>
      <sz val="11"/>
      <color theme="0"/>
      <name val="Century Gothic"/>
      <family val="1"/>
    </font>
    <font>
      <sz val="11"/>
      <name val="Century Gothic"/>
      <family val="1"/>
    </font>
    <font>
      <b/>
      <i/>
      <sz val="11"/>
      <name val="Century Gothic"/>
      <family val="2"/>
    </font>
    <font>
      <b/>
      <sz val="18"/>
      <name val="Century Gothic"/>
      <family val="2"/>
    </font>
    <font>
      <b/>
      <u/>
      <sz val="34"/>
      <name val="Century Gothic"/>
      <family val="2"/>
    </font>
    <font>
      <b/>
      <sz val="13"/>
      <name val="Century Gothic"/>
      <family val="2"/>
    </font>
    <font>
      <b/>
      <u/>
      <sz val="11"/>
      <name val="Century Gothic"/>
      <family val="2"/>
    </font>
    <font>
      <b/>
      <sz val="11"/>
      <name val="Century Gothic"/>
      <family val="1"/>
    </font>
    <font>
      <b/>
      <sz val="11"/>
      <name val="Century Gothic"/>
      <family val="2"/>
    </font>
    <font>
      <sz val="11"/>
      <name val="Calibri"/>
      <family val="2"/>
      <scheme val="minor"/>
    </font>
    <font>
      <sz val="16"/>
      <name val="Century Gothic"/>
      <family val="1"/>
    </font>
    <font>
      <b/>
      <sz val="34"/>
      <name val="Century Gothic"/>
      <family val="1"/>
    </font>
    <font>
      <b/>
      <u/>
      <sz val="34"/>
      <name val="Century Gothic"/>
      <family val="1"/>
    </font>
    <font>
      <sz val="24"/>
      <name val="Century Gothic"/>
      <family val="1"/>
    </font>
    <font>
      <b/>
      <sz val="24"/>
      <name val="Century Gothic"/>
      <family val="1"/>
    </font>
    <font>
      <b/>
      <u/>
      <sz val="13"/>
      <name val="Century Gothic"/>
      <family val="2"/>
    </font>
    <font>
      <b/>
      <sz val="20"/>
      <name val="Century Gothic"/>
      <family val="2"/>
    </font>
    <font>
      <b/>
      <sz val="12"/>
      <name val="Century Gothic"/>
      <family val="2"/>
    </font>
    <font>
      <b/>
      <i/>
      <u/>
      <sz val="11"/>
      <name val="Century Gothic"/>
      <family val="2"/>
    </font>
    <font>
      <sz val="16"/>
      <name val="Century Gothic"/>
      <family val="2"/>
    </font>
    <font>
      <b/>
      <i/>
      <sz val="12"/>
      <name val="Century Gothic"/>
      <family val="2"/>
    </font>
    <font>
      <b/>
      <sz val="34"/>
      <color rgb="FFFFC000"/>
      <name val="Century Gothic"/>
      <family val="1"/>
    </font>
    <font>
      <sz val="11"/>
      <color rgb="FFFF0000"/>
      <name val="Century Gothic"/>
      <family val="1"/>
    </font>
    <font>
      <sz val="24"/>
      <name val="Century Gothic"/>
      <family val="2"/>
    </font>
    <font>
      <b/>
      <sz val="11"/>
      <color theme="0"/>
      <name val="Calibri"/>
      <family val="2"/>
      <scheme val="minor"/>
    </font>
    <font>
      <b/>
      <sz val="11"/>
      <color theme="1"/>
      <name val="Calibri"/>
      <family val="2"/>
      <scheme val="minor"/>
    </font>
    <font>
      <sz val="11"/>
      <color theme="0"/>
      <name val="Calibri"/>
      <family val="2"/>
      <scheme val="minor"/>
    </font>
    <font>
      <b/>
      <sz val="16"/>
      <name val="Calibri"/>
      <family val="2"/>
      <scheme val="minor"/>
    </font>
    <font>
      <i/>
      <sz val="11"/>
      <color rgb="FFFF0000"/>
      <name val="Calibri"/>
      <family val="2"/>
      <scheme val="minor"/>
    </font>
    <font>
      <b/>
      <sz val="13"/>
      <color theme="1"/>
      <name val="Calibri"/>
      <family val="2"/>
      <scheme val="minor"/>
    </font>
    <font>
      <b/>
      <u val="double"/>
      <sz val="11"/>
      <color rgb="FF000000"/>
      <name val="Calibri"/>
      <family val="2"/>
      <scheme val="minor"/>
    </font>
    <font>
      <sz val="11"/>
      <color rgb="FF313B46"/>
      <name val="Calibri"/>
      <family val="2"/>
      <scheme val="minor"/>
    </font>
    <font>
      <sz val="11"/>
      <color rgb="FF00756A"/>
      <name val="Calibri"/>
      <family val="2"/>
      <scheme val="minor"/>
    </font>
    <font>
      <sz val="12"/>
      <color theme="1"/>
      <name val="Calibri"/>
      <family val="2"/>
      <scheme val="minor"/>
    </font>
    <font>
      <sz val="11"/>
      <color rgb="FF000000"/>
      <name val="Calibri"/>
      <family val="2"/>
      <scheme val="minor"/>
    </font>
    <font>
      <sz val="11"/>
      <color theme="1"/>
      <name val="Calibri"/>
      <family val="2"/>
      <scheme val="minor"/>
    </font>
    <font>
      <sz val="11"/>
      <color rgb="FFFF0000"/>
      <name val="Calibri"/>
      <family val="2"/>
      <scheme val="minor"/>
    </font>
    <font>
      <b/>
      <u/>
      <sz val="11"/>
      <color theme="0"/>
      <name val="Century Gothic"/>
      <family val="2"/>
    </font>
    <font>
      <b/>
      <sz val="18"/>
      <color theme="0"/>
      <name val="Century Gothic"/>
      <family val="2"/>
    </font>
    <font>
      <sz val="9"/>
      <name val="Century Gothic"/>
      <family val="2"/>
    </font>
    <font>
      <b/>
      <sz val="18"/>
      <color rgb="FFFF0000"/>
      <name val="Century Gothic"/>
      <family val="2"/>
    </font>
    <font>
      <b/>
      <sz val="12"/>
      <color theme="1"/>
      <name val="Calibri Light"/>
      <family val="2"/>
      <scheme val="major"/>
    </font>
    <font>
      <b/>
      <sz val="28"/>
      <color theme="1"/>
      <name val="Calibri Light"/>
      <family val="2"/>
      <scheme val="major"/>
    </font>
    <font>
      <b/>
      <sz val="28"/>
      <color theme="1"/>
      <name val="Calibri"/>
      <family val="2"/>
      <scheme val="minor"/>
    </font>
    <font>
      <sz val="11"/>
      <color theme="1"/>
      <name val="Calibri Light"/>
      <family val="2"/>
      <scheme val="major"/>
    </font>
    <font>
      <b/>
      <sz val="11"/>
      <color rgb="FFFFC000"/>
      <name val="Calibri Light"/>
      <family val="2"/>
      <scheme val="major"/>
    </font>
    <font>
      <b/>
      <sz val="11"/>
      <color rgb="FF000000"/>
      <name val="Calibri Light"/>
      <family val="2"/>
      <scheme val="major"/>
    </font>
    <font>
      <b/>
      <sz val="11"/>
      <color theme="1"/>
      <name val="Marlett"/>
      <charset val="2"/>
    </font>
    <font>
      <b/>
      <sz val="11"/>
      <color theme="1"/>
      <name val="Calibri Light"/>
      <family val="2"/>
      <scheme val="major"/>
    </font>
    <font>
      <sz val="11"/>
      <color rgb="FF000000"/>
      <name val="Calibri Light"/>
      <family val="2"/>
      <scheme val="major"/>
    </font>
    <font>
      <b/>
      <sz val="11"/>
      <color rgb="FFFF0000"/>
      <name val="Calibri Light"/>
      <family val="2"/>
      <scheme val="major"/>
    </font>
    <font>
      <b/>
      <sz val="11"/>
      <color rgb="FFFF0000"/>
      <name val="Marlett"/>
      <charset val="2"/>
    </font>
    <font>
      <b/>
      <u val="double"/>
      <sz val="11"/>
      <color rgb="FFFF0000"/>
      <name val="Calibri Light"/>
      <family val="2"/>
      <scheme val="major"/>
    </font>
    <font>
      <b/>
      <u/>
      <sz val="11"/>
      <color rgb="FF000000"/>
      <name val="Calibri Light"/>
      <family val="2"/>
      <scheme val="major"/>
    </font>
    <font>
      <b/>
      <sz val="11"/>
      <color rgb="FF000000"/>
      <name val="Calibri"/>
      <family val="2"/>
      <scheme val="minor"/>
    </font>
    <font>
      <b/>
      <u/>
      <sz val="11"/>
      <color rgb="FF000000"/>
      <name val="Calibri"/>
      <family val="2"/>
      <scheme val="minor"/>
    </font>
    <font>
      <b/>
      <sz val="10"/>
      <color theme="1"/>
      <name val="Calibri Light"/>
      <family val="2"/>
      <scheme val="major"/>
    </font>
    <font>
      <b/>
      <sz val="11"/>
      <color rgb="FFAEAAAA"/>
      <name val="Calibri Light"/>
      <family val="2"/>
      <scheme val="major"/>
    </font>
    <font>
      <b/>
      <sz val="11"/>
      <name val="Calibri Light"/>
      <family val="2"/>
      <scheme val="major"/>
    </font>
    <font>
      <b/>
      <sz val="11"/>
      <color rgb="FF000000"/>
      <name val="Marlett"/>
      <charset val="2"/>
    </font>
    <font>
      <b/>
      <u val="double"/>
      <sz val="11"/>
      <color rgb="FF000000"/>
      <name val="Calibri Light"/>
      <family val="2"/>
      <scheme val="major"/>
    </font>
    <font>
      <b/>
      <sz val="11"/>
      <color rgb="FF333333"/>
      <name val="Calibri Light"/>
      <family val="2"/>
      <scheme val="major"/>
    </font>
    <font>
      <b/>
      <sz val="9"/>
      <color theme="1"/>
      <name val="Calibri Light"/>
      <family val="2"/>
      <scheme val="major"/>
    </font>
    <font>
      <b/>
      <u/>
      <sz val="11"/>
      <color theme="10"/>
      <name val="Calibri Light"/>
      <family val="2"/>
      <scheme val="major"/>
    </font>
    <font>
      <b/>
      <sz val="11"/>
      <color rgb="FF000000"/>
      <name val="Calibri Light"/>
      <family val="2"/>
    </font>
    <font>
      <b/>
      <u val="double"/>
      <sz val="11"/>
      <color theme="1"/>
      <name val="Calibri Light"/>
      <family val="2"/>
      <scheme val="major"/>
    </font>
    <font>
      <sz val="11"/>
      <color theme="1"/>
      <name val="Marlett"/>
      <charset val="2"/>
    </font>
    <font>
      <b/>
      <sz val="12"/>
      <color theme="0"/>
      <name val="Calibri"/>
      <family val="2"/>
      <scheme val="minor"/>
    </font>
    <font>
      <sz val="12"/>
      <color theme="0"/>
      <name val="Calibri"/>
      <family val="2"/>
      <scheme val="minor"/>
    </font>
    <font>
      <b/>
      <sz val="12"/>
      <color theme="1"/>
      <name val="Calibri"/>
      <family val="2"/>
      <scheme val="minor"/>
    </font>
    <font>
      <b/>
      <sz val="11"/>
      <color rgb="FFFF0000"/>
      <name val="Calibri"/>
      <family val="2"/>
      <scheme val="minor"/>
    </font>
    <font>
      <b/>
      <u/>
      <sz val="11"/>
      <color rgb="FFFF0000"/>
      <name val="Calibri Light"/>
      <family val="2"/>
      <scheme val="major"/>
    </font>
    <font>
      <b/>
      <sz val="9"/>
      <color rgb="FF000000"/>
      <name val="Calibri"/>
      <family val="2"/>
      <scheme val="minor"/>
    </font>
    <font>
      <b/>
      <i/>
      <sz val="9"/>
      <color rgb="FF000000"/>
      <name val="Calibri"/>
      <family val="2"/>
      <scheme val="minor"/>
    </font>
    <font>
      <b/>
      <u/>
      <sz val="8"/>
      <name val="Century Gothic"/>
      <family val="2"/>
    </font>
    <font>
      <b/>
      <sz val="8"/>
      <color rgb="FF000000"/>
      <name val="Century Gothic"/>
      <family val="2"/>
    </font>
    <font>
      <i/>
      <sz val="8"/>
      <color rgb="FF000000"/>
      <name val="Century Gothic"/>
      <family val="2"/>
    </font>
    <font>
      <b/>
      <sz val="8"/>
      <color rgb="FF555555"/>
      <name val="Century Gothic"/>
      <family val="2"/>
    </font>
    <font>
      <b/>
      <u/>
      <sz val="8"/>
      <color rgb="FF000000"/>
      <name val="Century Gothic"/>
      <family val="2"/>
    </font>
    <font>
      <b/>
      <sz val="11"/>
      <color theme="1"/>
      <name val="Calibri Light"/>
      <scheme val="major"/>
    </font>
    <font>
      <b/>
      <sz val="12"/>
      <color rgb="FFFF0000"/>
      <name val="Century Gothic"/>
      <family val="2"/>
    </font>
  </fonts>
  <fills count="23">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2F3234"/>
        <bgColor indexed="64"/>
      </patternFill>
    </fill>
    <fill>
      <patternFill patternType="solid">
        <fgColor rgb="FFFFB200"/>
        <bgColor indexed="64"/>
      </patternFill>
    </fill>
    <fill>
      <patternFill patternType="solid">
        <fgColor rgb="FFFFE89F"/>
        <bgColor indexed="64"/>
      </patternFill>
    </fill>
    <fill>
      <patternFill patternType="solid">
        <fgColor rgb="FFFFFFFF"/>
        <bgColor rgb="FF000000"/>
      </patternFill>
    </fill>
    <fill>
      <patternFill patternType="solid">
        <fgColor rgb="FFFFC000"/>
        <bgColor indexed="64"/>
      </patternFill>
    </fill>
    <fill>
      <patternFill patternType="solid">
        <fgColor rgb="FFFFDC6D"/>
        <bgColor indexed="64"/>
      </patternFill>
    </fill>
    <fill>
      <patternFill patternType="solid">
        <fgColor rgb="FFFFFF00"/>
        <bgColor rgb="FF000000"/>
      </patternFill>
    </fill>
    <fill>
      <patternFill patternType="solid">
        <fgColor rgb="FF92D050"/>
        <bgColor rgb="FF000000"/>
      </patternFill>
    </fill>
    <fill>
      <patternFill patternType="solid">
        <fgColor rgb="FFFFC000"/>
        <bgColor rgb="FF000000"/>
      </patternFill>
    </fill>
    <fill>
      <patternFill patternType="solid">
        <fgColor theme="8" tint="0.39997558519241921"/>
        <bgColor rgb="FF000000"/>
      </patternFill>
    </fill>
    <fill>
      <patternFill patternType="solid">
        <fgColor rgb="FFCC99FF"/>
        <bgColor rgb="FF000000"/>
      </patternFill>
    </fill>
    <fill>
      <patternFill patternType="solid">
        <fgColor theme="0"/>
        <bgColor rgb="FF000000"/>
      </patternFill>
    </fill>
    <fill>
      <patternFill patternType="solid">
        <fgColor theme="1"/>
        <bgColor indexed="64"/>
      </patternFill>
    </fill>
    <fill>
      <patternFill patternType="solid">
        <fgColor rgb="FFCC99FF"/>
        <bgColor indexed="64"/>
      </patternFill>
    </fill>
    <fill>
      <patternFill patternType="solid">
        <fgColor theme="9" tint="0.59999389629810485"/>
        <bgColor indexed="64"/>
      </patternFill>
    </fill>
    <fill>
      <patternFill patternType="solid">
        <fgColor rgb="FFFFFFFF"/>
        <bgColor indexed="64"/>
      </patternFill>
    </fill>
    <fill>
      <patternFill patternType="solid">
        <fgColor theme="5" tint="-0.249977111117893"/>
        <bgColor indexed="64"/>
      </patternFill>
    </fill>
    <fill>
      <patternFill patternType="solid">
        <fgColor rgb="FFFFAFAF"/>
        <bgColor rgb="FF000000"/>
      </patternFill>
    </fill>
    <fill>
      <patternFill patternType="solid">
        <fgColor rgb="FFD9D9D9"/>
        <bgColor rgb="FF000000"/>
      </patternFill>
    </fill>
  </fills>
  <borders count="7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double">
        <color indexed="64"/>
      </bottom>
      <diagonal/>
    </border>
    <border>
      <left/>
      <right/>
      <top/>
      <bottom style="thin">
        <color indexed="64"/>
      </bottom>
      <diagonal/>
    </border>
    <border>
      <left/>
      <right/>
      <top style="thin">
        <color indexed="64"/>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rgb="FFFFC000"/>
      </left>
      <right/>
      <top/>
      <bottom/>
      <diagonal/>
    </border>
    <border>
      <left style="double">
        <color indexed="64"/>
      </left>
      <right/>
      <top/>
      <bottom/>
      <diagonal/>
    </border>
    <border>
      <left/>
      <right style="double">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64"/>
      </top>
      <bottom style="double">
        <color indexed="64"/>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style="thin">
        <color indexed="64"/>
      </left>
      <right/>
      <top style="thin">
        <color rgb="FF000000"/>
      </top>
      <bottom/>
      <diagonal/>
    </border>
    <border>
      <left/>
      <right/>
      <top/>
      <bottom style="thin">
        <color theme="4" tint="0.39997558519241921"/>
      </bottom>
      <diagonal/>
    </border>
    <border>
      <left/>
      <right style="thin">
        <color indexed="64"/>
      </right>
      <top/>
      <bottom style="thin">
        <color theme="4" tint="0.39997558519241921"/>
      </bottom>
      <diagonal/>
    </border>
    <border>
      <left/>
      <right style="medium">
        <color indexed="64"/>
      </right>
      <top/>
      <bottom/>
      <diagonal/>
    </border>
    <border>
      <left/>
      <right style="medium">
        <color indexed="64"/>
      </right>
      <top style="thin">
        <color rgb="FF000000"/>
      </top>
      <bottom style="thin">
        <color rgb="FF000000"/>
      </bottom>
      <diagonal/>
    </border>
    <border>
      <left/>
      <right style="medium">
        <color indexed="64"/>
      </right>
      <top style="thin">
        <color rgb="FF000000"/>
      </top>
      <bottom/>
      <diagonal/>
    </border>
    <border>
      <left/>
      <right style="medium">
        <color indexed="64"/>
      </right>
      <top/>
      <bottom style="thin">
        <color rgb="FF000000"/>
      </bottom>
      <diagonal/>
    </border>
    <border>
      <left/>
      <right style="medium">
        <color indexed="64"/>
      </right>
      <top style="thin">
        <color auto="1"/>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thin">
        <color auto="1"/>
      </left>
      <right style="thin">
        <color rgb="FF000000"/>
      </right>
      <top style="thin">
        <color indexed="64"/>
      </top>
      <bottom/>
      <diagonal/>
    </border>
    <border>
      <left style="thin">
        <color auto="1"/>
      </left>
      <right style="thin">
        <color rgb="FF000000"/>
      </right>
      <top style="thin">
        <color indexed="64"/>
      </top>
      <bottom style="thin">
        <color auto="1"/>
      </bottom>
      <diagonal/>
    </border>
    <border>
      <left style="thin">
        <color rgb="FF000000"/>
      </left>
      <right/>
      <top/>
      <bottom style="thin">
        <color rgb="FF000000"/>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rgb="FF000000"/>
      </left>
      <right style="thin">
        <color indexed="64"/>
      </right>
      <top style="medium">
        <color rgb="FF000000"/>
      </top>
      <bottom style="medium">
        <color indexed="64"/>
      </bottom>
      <diagonal/>
    </border>
    <border>
      <left style="thin">
        <color indexed="64"/>
      </left>
      <right/>
      <top style="medium">
        <color rgb="FF000000"/>
      </top>
      <bottom style="medium">
        <color indexed="64"/>
      </bottom>
      <diagonal/>
    </border>
    <border>
      <left/>
      <right/>
      <top style="medium">
        <color rgb="FF000000"/>
      </top>
      <bottom style="medium">
        <color indexed="64"/>
      </bottom>
      <diagonal/>
    </border>
    <border>
      <left style="thin">
        <color indexed="64"/>
      </left>
      <right style="medium">
        <color indexed="64"/>
      </right>
      <top style="medium">
        <color rgb="FF000000"/>
      </top>
      <bottom style="medium">
        <color indexed="64"/>
      </bottom>
      <diagonal/>
    </border>
    <border>
      <left style="thin">
        <color indexed="64"/>
      </left>
      <right style="medium">
        <color rgb="FF000000"/>
      </right>
      <top style="medium">
        <color rgb="FF000000"/>
      </top>
      <bottom style="medium">
        <color indexed="64"/>
      </bottom>
      <diagonal/>
    </border>
    <border>
      <left style="medium">
        <color rgb="FF000000"/>
      </left>
      <right style="thin">
        <color indexed="64"/>
      </right>
      <top style="thin">
        <color indexed="64"/>
      </top>
      <bottom style="thin">
        <color indexed="64"/>
      </bottom>
      <diagonal/>
    </border>
    <border>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auto="1"/>
      </top>
      <bottom style="medium">
        <color indexed="64"/>
      </bottom>
      <diagonal/>
    </border>
    <border>
      <left/>
      <right/>
      <top style="thin">
        <color auto="1"/>
      </top>
      <bottom style="medium">
        <color indexed="64"/>
      </bottom>
      <diagonal/>
    </border>
    <border>
      <left/>
      <right style="thin">
        <color indexed="64"/>
      </right>
      <top style="thin">
        <color auto="1"/>
      </top>
      <bottom style="medium">
        <color indexed="64"/>
      </bottom>
      <diagonal/>
    </border>
  </borders>
  <cellStyleXfs count="9">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43" fontId="2" fillId="0" borderId="0" applyFont="0" applyFill="0" applyBorder="0" applyAlignment="0" applyProtection="0"/>
    <xf numFmtId="0" fontId="3" fillId="0" borderId="0" applyNumberFormat="0" applyFill="0" applyBorder="0" applyAlignment="0" applyProtection="0"/>
    <xf numFmtId="44" fontId="2" fillId="0" borderId="0" applyFont="0" applyFill="0" applyBorder="0" applyAlignment="0" applyProtection="0"/>
  </cellStyleXfs>
  <cellXfs count="474">
    <xf numFmtId="0" fontId="0" fillId="0" borderId="0" xfId="0"/>
    <xf numFmtId="0" fontId="0" fillId="2" borderId="0" xfId="0" applyFill="1"/>
    <xf numFmtId="0" fontId="8" fillId="0" borderId="0" xfId="0" applyFont="1" applyAlignment="1">
      <alignment vertical="center"/>
    </xf>
    <xf numFmtId="0" fontId="0" fillId="2" borderId="0" xfId="0" applyFill="1" applyAlignment="1">
      <alignment vertical="center"/>
    </xf>
    <xf numFmtId="0" fontId="9" fillId="2" borderId="0" xfId="0" applyFont="1" applyFill="1" applyAlignment="1">
      <alignment vertical="center"/>
    </xf>
    <xf numFmtId="0" fontId="8" fillId="2" borderId="0" xfId="0" applyFont="1" applyFill="1" applyAlignment="1">
      <alignment vertical="center"/>
    </xf>
    <xf numFmtId="0" fontId="0" fillId="2" borderId="0" xfId="0" applyFill="1" applyAlignment="1">
      <alignment horizontal="center"/>
    </xf>
    <xf numFmtId="0" fontId="11" fillId="2" borderId="0" xfId="0" applyFont="1" applyFill="1"/>
    <xf numFmtId="2" fontId="12" fillId="2" borderId="0" xfId="1" applyNumberFormat="1" applyFont="1" applyFill="1" applyBorder="1" applyProtection="1"/>
    <xf numFmtId="43" fontId="12" fillId="2" borderId="0" xfId="6" applyFont="1" applyFill="1" applyBorder="1" applyProtection="1"/>
    <xf numFmtId="9" fontId="12" fillId="2" borderId="0" xfId="1" applyFont="1" applyFill="1" applyProtection="1"/>
    <xf numFmtId="9" fontId="14" fillId="2" borderId="0" xfId="1" applyFont="1" applyFill="1" applyProtection="1"/>
    <xf numFmtId="165" fontId="14" fillId="6" borderId="1" xfId="0" applyNumberFormat="1" applyFont="1" applyFill="1" applyBorder="1" applyAlignment="1" applyProtection="1">
      <alignment horizontal="center" vertical="center"/>
      <protection locked="0"/>
    </xf>
    <xf numFmtId="9" fontId="19" fillId="2" borderId="0" xfId="1" applyFont="1" applyFill="1" applyBorder="1" applyAlignment="1" applyProtection="1">
      <alignment horizontal="center"/>
    </xf>
    <xf numFmtId="165" fontId="14" fillId="3" borderId="1" xfId="8" applyNumberFormat="1" applyFont="1" applyFill="1" applyBorder="1" applyAlignment="1" applyProtection="1">
      <alignment vertical="center"/>
      <protection locked="0"/>
    </xf>
    <xf numFmtId="9" fontId="21" fillId="2" borderId="0" xfId="1" applyFont="1" applyFill="1" applyBorder="1" applyAlignment="1" applyProtection="1">
      <alignment horizontal="center"/>
    </xf>
    <xf numFmtId="43" fontId="29" fillId="2" borderId="0" xfId="6" applyFont="1" applyFill="1" applyAlignment="1" applyProtection="1">
      <alignment horizontal="center" vertical="center"/>
    </xf>
    <xf numFmtId="43" fontId="29" fillId="2" borderId="9" xfId="6" applyFont="1" applyFill="1" applyBorder="1" applyAlignment="1" applyProtection="1">
      <alignment horizontal="center" vertical="center"/>
    </xf>
    <xf numFmtId="165" fontId="14" fillId="3" borderId="1" xfId="0" applyNumberFormat="1" applyFont="1" applyFill="1" applyBorder="1" applyAlignment="1" applyProtection="1">
      <alignment horizontal="center" vertical="center"/>
      <protection locked="0"/>
    </xf>
    <xf numFmtId="165" fontId="12" fillId="6" borderId="1" xfId="0" applyNumberFormat="1" applyFont="1" applyFill="1" applyBorder="1" applyAlignment="1" applyProtection="1">
      <alignment horizontal="center" vertical="center"/>
      <protection locked="0"/>
    </xf>
    <xf numFmtId="0" fontId="12" fillId="6" borderId="1" xfId="0" applyFont="1" applyFill="1" applyBorder="1" applyAlignment="1" applyProtection="1">
      <alignment horizontal="center" vertical="center"/>
      <protection locked="0"/>
    </xf>
    <xf numFmtId="165" fontId="12" fillId="6" borderId="20" xfId="0" applyNumberFormat="1" applyFont="1" applyFill="1" applyBorder="1" applyAlignment="1" applyProtection="1">
      <alignment horizontal="center" vertical="center"/>
      <protection locked="0"/>
    </xf>
    <xf numFmtId="0" fontId="12" fillId="6" borderId="19" xfId="0" applyFont="1" applyFill="1" applyBorder="1" applyAlignment="1" applyProtection="1">
      <alignment horizontal="center" vertical="center"/>
      <protection locked="0"/>
    </xf>
    <xf numFmtId="0" fontId="0" fillId="9" borderId="0" xfId="0" applyFill="1" applyAlignment="1" applyProtection="1">
      <alignment horizontal="center" wrapText="1"/>
      <protection locked="0"/>
    </xf>
    <xf numFmtId="0" fontId="0" fillId="9" borderId="0" xfId="0" applyFill="1" applyProtection="1">
      <protection locked="0"/>
    </xf>
    <xf numFmtId="165" fontId="0" fillId="9" borderId="0" xfId="0" applyNumberFormat="1" applyFill="1" applyProtection="1">
      <protection locked="0"/>
    </xf>
    <xf numFmtId="0" fontId="39" fillId="2" borderId="0" xfId="0" applyFont="1" applyFill="1"/>
    <xf numFmtId="0" fontId="0" fillId="2" borderId="0" xfId="0" applyFill="1" applyAlignment="1">
      <alignment horizontal="center" wrapText="1"/>
    </xf>
    <xf numFmtId="9" fontId="0" fillId="2" borderId="0" xfId="1" applyFont="1" applyFill="1" applyAlignment="1" applyProtection="1">
      <alignment horizontal="center" wrapText="1"/>
    </xf>
    <xf numFmtId="0" fontId="37" fillId="16" borderId="0" xfId="0" applyFont="1" applyFill="1"/>
    <xf numFmtId="0" fontId="8" fillId="2" borderId="0" xfId="0" applyFont="1" applyFill="1" applyAlignment="1">
      <alignment horizontal="center" vertical="center"/>
    </xf>
    <xf numFmtId="165" fontId="0" fillId="2" borderId="0" xfId="0" applyNumberFormat="1" applyFill="1"/>
    <xf numFmtId="0" fontId="0" fillId="2" borderId="0" xfId="0" applyFill="1" applyAlignment="1">
      <alignment horizontal="right"/>
    </xf>
    <xf numFmtId="0" fontId="38" fillId="2" borderId="0" xfId="0" applyFont="1" applyFill="1" applyAlignment="1">
      <alignment horizontal="right"/>
    </xf>
    <xf numFmtId="165" fontId="38" fillId="2" borderId="21" xfId="0" applyNumberFormat="1" applyFont="1" applyFill="1" applyBorder="1"/>
    <xf numFmtId="165" fontId="39" fillId="2" borderId="0" xfId="0" applyNumberFormat="1" applyFont="1" applyFill="1"/>
    <xf numFmtId="0" fontId="41" fillId="2" borderId="0" xfId="0" applyFont="1" applyFill="1" applyAlignment="1">
      <alignment horizontal="center"/>
    </xf>
    <xf numFmtId="0" fontId="42" fillId="2" borderId="0" xfId="0" applyFont="1" applyFill="1" applyAlignment="1">
      <alignment horizontal="right"/>
    </xf>
    <xf numFmtId="165" fontId="42" fillId="2" borderId="0" xfId="0" applyNumberFormat="1" applyFont="1" applyFill="1"/>
    <xf numFmtId="9" fontId="42" fillId="2" borderId="0" xfId="1" applyFont="1" applyFill="1" applyProtection="1"/>
    <xf numFmtId="0" fontId="0" fillId="2" borderId="2" xfId="0" applyFill="1" applyBorder="1"/>
    <xf numFmtId="0" fontId="0" fillId="2" borderId="10"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9" xfId="0" applyFill="1" applyBorder="1"/>
    <xf numFmtId="0" fontId="0" fillId="2" borderId="7" xfId="0" applyFill="1" applyBorder="1"/>
    <xf numFmtId="165" fontId="11" fillId="2" borderId="0" xfId="0" applyNumberFormat="1" applyFont="1" applyFill="1"/>
    <xf numFmtId="0" fontId="42" fillId="2" borderId="0" xfId="0" applyFont="1" applyFill="1"/>
    <xf numFmtId="0" fontId="0" fillId="2" borderId="21" xfId="0" applyFill="1" applyBorder="1"/>
    <xf numFmtId="165" fontId="0" fillId="2" borderId="21" xfId="0" applyNumberFormat="1" applyFill="1" applyBorder="1"/>
    <xf numFmtId="43" fontId="12" fillId="2" borderId="0" xfId="6" applyFont="1" applyFill="1" applyProtection="1"/>
    <xf numFmtId="0" fontId="43" fillId="17" borderId="0" xfId="0" applyFont="1" applyFill="1" applyAlignment="1">
      <alignment wrapText="1"/>
    </xf>
    <xf numFmtId="166" fontId="14" fillId="2" borderId="0" xfId="1" applyNumberFormat="1" applyFont="1" applyFill="1" applyProtection="1"/>
    <xf numFmtId="167" fontId="0" fillId="2" borderId="0" xfId="0" applyNumberFormat="1" applyFill="1" applyAlignment="1">
      <alignment horizontal="center"/>
    </xf>
    <xf numFmtId="0" fontId="48" fillId="2" borderId="0" xfId="0" applyFont="1" applyFill="1"/>
    <xf numFmtId="0" fontId="47" fillId="2" borderId="24" xfId="0" applyFont="1" applyFill="1" applyBorder="1"/>
    <xf numFmtId="167" fontId="47" fillId="2" borderId="26" xfId="0" applyNumberFormat="1" applyFont="1" applyFill="1" applyBorder="1" applyAlignment="1">
      <alignment horizontal="center"/>
    </xf>
    <xf numFmtId="0" fontId="47" fillId="2" borderId="26" xfId="0" applyFont="1" applyFill="1" applyBorder="1"/>
    <xf numFmtId="0" fontId="49" fillId="2" borderId="0" xfId="0" applyFont="1" applyFill="1"/>
    <xf numFmtId="167" fontId="47" fillId="2" borderId="31" xfId="0" applyNumberFormat="1" applyFont="1" applyFill="1" applyBorder="1" applyAlignment="1">
      <alignment horizontal="center"/>
    </xf>
    <xf numFmtId="0" fontId="47" fillId="2" borderId="25" xfId="0" applyFont="1" applyFill="1" applyBorder="1"/>
    <xf numFmtId="0" fontId="47" fillId="2" borderId="27" xfId="0" applyFont="1" applyFill="1" applyBorder="1"/>
    <xf numFmtId="0" fontId="47" fillId="2" borderId="22" xfId="0" applyFont="1" applyFill="1" applyBorder="1"/>
    <xf numFmtId="167" fontId="47" fillId="2" borderId="22" xfId="0" applyNumberFormat="1" applyFont="1" applyFill="1" applyBorder="1" applyAlignment="1">
      <alignment horizontal="center"/>
    </xf>
    <xf numFmtId="167" fontId="47" fillId="2" borderId="23" xfId="0" applyNumberFormat="1" applyFont="1" applyFill="1" applyBorder="1" applyAlignment="1">
      <alignment horizontal="center"/>
    </xf>
    <xf numFmtId="166" fontId="12" fillId="2" borderId="0" xfId="1" applyNumberFormat="1" applyFont="1" applyFill="1" applyProtection="1"/>
    <xf numFmtId="0" fontId="1" fillId="2" borderId="0" xfId="0" applyFont="1" applyFill="1"/>
    <xf numFmtId="0" fontId="1" fillId="2" borderId="0" xfId="0" applyFont="1" applyFill="1" applyAlignment="1">
      <alignment horizontal="left"/>
    </xf>
    <xf numFmtId="1" fontId="50" fillId="2" borderId="0" xfId="1" applyNumberFormat="1" applyFont="1" applyFill="1" applyBorder="1" applyAlignment="1" applyProtection="1">
      <alignment horizontal="center"/>
    </xf>
    <xf numFmtId="0" fontId="14" fillId="2" borderId="0" xfId="0" applyFont="1" applyFill="1"/>
    <xf numFmtId="0" fontId="14" fillId="2" borderId="0" xfId="0" applyFont="1" applyFill="1" applyAlignment="1">
      <alignment horizontal="center"/>
    </xf>
    <xf numFmtId="0" fontId="12" fillId="2" borderId="0" xfId="0" applyFont="1" applyFill="1"/>
    <xf numFmtId="0" fontId="20" fillId="2" borderId="0" xfId="0" applyFont="1" applyFill="1"/>
    <xf numFmtId="0" fontId="21" fillId="2" borderId="0" xfId="0" applyFont="1" applyFill="1"/>
    <xf numFmtId="0" fontId="22" fillId="2" borderId="0" xfId="0" applyFont="1" applyFill="1"/>
    <xf numFmtId="0" fontId="14" fillId="7" borderId="0" xfId="0" applyFont="1" applyFill="1"/>
    <xf numFmtId="0" fontId="14" fillId="12" borderId="0" xfId="0" applyFont="1" applyFill="1"/>
    <xf numFmtId="9" fontId="14" fillId="7" borderId="0" xfId="1" applyFont="1" applyFill="1" applyProtection="1"/>
    <xf numFmtId="9" fontId="14" fillId="2" borderId="0" xfId="0" applyNumberFormat="1" applyFont="1" applyFill="1"/>
    <xf numFmtId="0" fontId="14" fillId="14" borderId="0" xfId="0" applyFont="1" applyFill="1"/>
    <xf numFmtId="0" fontId="14" fillId="13" borderId="0" xfId="0" applyFont="1" applyFill="1"/>
    <xf numFmtId="0" fontId="14" fillId="11" borderId="0" xfId="0" applyFont="1" applyFill="1"/>
    <xf numFmtId="0" fontId="14" fillId="2" borderId="8" xfId="0" applyFont="1" applyFill="1" applyBorder="1"/>
    <xf numFmtId="0" fontId="14" fillId="2" borderId="8" xfId="0" applyFont="1" applyFill="1" applyBorder="1" applyAlignment="1">
      <alignment horizontal="center"/>
    </xf>
    <xf numFmtId="0" fontId="12" fillId="2" borderId="8" xfId="0" applyFont="1" applyFill="1" applyBorder="1"/>
    <xf numFmtId="0" fontId="14" fillId="2" borderId="15" xfId="0" applyFont="1" applyFill="1" applyBorder="1"/>
    <xf numFmtId="0" fontId="12" fillId="2" borderId="15" xfId="0" applyFont="1" applyFill="1" applyBorder="1"/>
    <xf numFmtId="0" fontId="14" fillId="2" borderId="16" xfId="0" applyFont="1" applyFill="1" applyBorder="1"/>
    <xf numFmtId="0" fontId="14" fillId="2" borderId="17" xfId="0" applyFont="1" applyFill="1" applyBorder="1"/>
    <xf numFmtId="0" fontId="12" fillId="2" borderId="17" xfId="0" applyFont="1" applyFill="1" applyBorder="1"/>
    <xf numFmtId="0" fontId="14" fillId="2" borderId="18" xfId="0" applyFont="1" applyFill="1" applyBorder="1"/>
    <xf numFmtId="0" fontId="23" fillId="2" borderId="15" xfId="0" applyFont="1" applyFill="1" applyBorder="1" applyAlignment="1">
      <alignment vertical="center"/>
    </xf>
    <xf numFmtId="0" fontId="17" fillId="2" borderId="0" xfId="0" applyFont="1" applyFill="1" applyAlignment="1">
      <alignment horizontal="center" vertical="center"/>
    </xf>
    <xf numFmtId="0" fontId="14" fillId="2" borderId="14" xfId="0" applyFont="1" applyFill="1" applyBorder="1"/>
    <xf numFmtId="0" fontId="23" fillId="2" borderId="0" xfId="0" applyFont="1" applyFill="1" applyAlignment="1">
      <alignment vertical="center"/>
    </xf>
    <xf numFmtId="0" fontId="14" fillId="10" borderId="0" xfId="0" applyFont="1" applyFill="1"/>
    <xf numFmtId="0" fontId="14" fillId="15" borderId="0" xfId="0" applyFont="1" applyFill="1"/>
    <xf numFmtId="0" fontId="25" fillId="2" borderId="0" xfId="0" applyFont="1" applyFill="1" applyAlignment="1">
      <alignment horizontal="center" vertical="center"/>
    </xf>
    <xf numFmtId="0" fontId="25" fillId="2" borderId="14" xfId="0" applyFont="1" applyFill="1" applyBorder="1" applyAlignment="1">
      <alignment horizontal="center" vertical="center"/>
    </xf>
    <xf numFmtId="0" fontId="26" fillId="2" borderId="15" xfId="0" applyFont="1" applyFill="1" applyBorder="1" applyAlignment="1">
      <alignment vertical="center"/>
    </xf>
    <xf numFmtId="0" fontId="26" fillId="2" borderId="0" xfId="0" applyFont="1" applyFill="1"/>
    <xf numFmtId="0" fontId="36" fillId="2" borderId="0" xfId="0" applyFont="1" applyFill="1"/>
    <xf numFmtId="0" fontId="26" fillId="2" borderId="13" xfId="0" applyFont="1" applyFill="1" applyBorder="1"/>
    <xf numFmtId="0" fontId="36" fillId="2" borderId="13" xfId="0" applyFont="1" applyFill="1" applyBorder="1"/>
    <xf numFmtId="0" fontId="26" fillId="2" borderId="14" xfId="0" applyFont="1" applyFill="1" applyBorder="1"/>
    <xf numFmtId="0" fontId="26" fillId="2" borderId="0" xfId="0" applyFont="1" applyFill="1" applyAlignment="1">
      <alignment vertical="center"/>
    </xf>
    <xf numFmtId="0" fontId="27" fillId="2" borderId="0" xfId="0" applyFont="1" applyFill="1" applyAlignment="1">
      <alignment vertical="center"/>
    </xf>
    <xf numFmtId="0" fontId="14" fillId="2" borderId="13" xfId="0" applyFont="1" applyFill="1" applyBorder="1"/>
    <xf numFmtId="0" fontId="12" fillId="2" borderId="13" xfId="0" applyFont="1" applyFill="1" applyBorder="1"/>
    <xf numFmtId="0" fontId="19" fillId="2" borderId="0" xfId="0" applyFont="1" applyFill="1"/>
    <xf numFmtId="0" fontId="19" fillId="2" borderId="0" xfId="0" applyFont="1" applyFill="1" applyAlignment="1">
      <alignment horizontal="center"/>
    </xf>
    <xf numFmtId="0" fontId="12" fillId="2" borderId="0" xfId="0"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horizontal="center"/>
    </xf>
    <xf numFmtId="0" fontId="14" fillId="2" borderId="0" xfId="0" applyFont="1" applyFill="1" applyAlignment="1">
      <alignment vertical="center"/>
    </xf>
    <xf numFmtId="165" fontId="12" fillId="2" borderId="0" xfId="0" applyNumberFormat="1" applyFont="1" applyFill="1" applyAlignment="1">
      <alignment horizontal="center" vertical="center" wrapText="1"/>
    </xf>
    <xf numFmtId="165" fontId="12" fillId="2" borderId="0" xfId="0" applyNumberFormat="1" applyFont="1" applyFill="1"/>
    <xf numFmtId="165" fontId="7" fillId="2" borderId="0" xfId="0" applyNumberFormat="1" applyFont="1" applyFill="1"/>
    <xf numFmtId="1" fontId="12" fillId="2" borderId="0" xfId="0" applyNumberFormat="1" applyFont="1" applyFill="1"/>
    <xf numFmtId="0" fontId="7" fillId="2" borderId="0" xfId="0" applyFont="1" applyFill="1"/>
    <xf numFmtId="0" fontId="7" fillId="2" borderId="0" xfId="0" applyFont="1" applyFill="1" applyAlignment="1">
      <alignment horizontal="center"/>
    </xf>
    <xf numFmtId="0" fontId="12" fillId="2" borderId="0" xfId="0" applyFont="1" applyFill="1" applyAlignment="1">
      <alignment vertical="center"/>
    </xf>
    <xf numFmtId="0" fontId="19" fillId="2" borderId="2" xfId="0" applyFont="1" applyFill="1" applyBorder="1" applyAlignment="1">
      <alignment vertical="center"/>
    </xf>
    <xf numFmtId="0" fontId="14" fillId="2" borderId="10" xfId="0" applyFont="1" applyFill="1" applyBorder="1" applyAlignment="1">
      <alignment horizontal="center"/>
    </xf>
    <xf numFmtId="0" fontId="12" fillId="2" borderId="3" xfId="0" applyFont="1" applyFill="1" applyBorder="1"/>
    <xf numFmtId="0" fontId="14" fillId="2" borderId="4" xfId="0" applyFont="1" applyFill="1" applyBorder="1" applyAlignment="1">
      <alignment vertical="center"/>
    </xf>
    <xf numFmtId="165" fontId="12" fillId="2" borderId="5" xfId="0" applyNumberFormat="1" applyFont="1" applyFill="1" applyBorder="1"/>
    <xf numFmtId="165" fontId="14" fillId="2" borderId="0" xfId="0" applyNumberFormat="1" applyFont="1" applyFill="1"/>
    <xf numFmtId="165" fontId="14" fillId="2" borderId="0" xfId="0" applyNumberFormat="1" applyFont="1" applyFill="1" applyAlignment="1">
      <alignment horizontal="center" vertical="center"/>
    </xf>
    <xf numFmtId="0" fontId="19" fillId="2" borderId="2" xfId="0" applyFont="1" applyFill="1" applyBorder="1"/>
    <xf numFmtId="0" fontId="12" fillId="2" borderId="10" xfId="0" applyFont="1" applyFill="1" applyBorder="1" applyAlignment="1">
      <alignment horizontal="center"/>
    </xf>
    <xf numFmtId="0" fontId="30" fillId="2" borderId="4" xfId="0" applyFont="1" applyFill="1" applyBorder="1" applyAlignment="1">
      <alignment vertical="center"/>
    </xf>
    <xf numFmtId="0" fontId="35" fillId="2" borderId="0" xfId="0" applyFont="1" applyFill="1" applyAlignment="1">
      <alignment horizontal="center"/>
    </xf>
    <xf numFmtId="165" fontId="18" fillId="2" borderId="5" xfId="0" applyNumberFormat="1" applyFont="1" applyFill="1" applyBorder="1"/>
    <xf numFmtId="165" fontId="18" fillId="2" borderId="0" xfId="0" applyNumberFormat="1" applyFont="1" applyFill="1"/>
    <xf numFmtId="0" fontId="12" fillId="2" borderId="4" xfId="0" applyFont="1" applyFill="1" applyBorder="1" applyAlignment="1">
      <alignment vertical="center"/>
    </xf>
    <xf numFmtId="0" fontId="31" fillId="2" borderId="0" xfId="0" applyFont="1" applyFill="1" applyAlignment="1">
      <alignment vertical="top"/>
    </xf>
    <xf numFmtId="0" fontId="32" fillId="2" borderId="0" xfId="0" applyFont="1" applyFill="1" applyAlignment="1">
      <alignment horizontal="center"/>
    </xf>
    <xf numFmtId="0" fontId="14" fillId="2" borderId="4" xfId="0" applyFont="1" applyFill="1" applyBorder="1"/>
    <xf numFmtId="0" fontId="35" fillId="2" borderId="0" xfId="0" applyFont="1" applyFill="1" applyAlignment="1">
      <alignment horizontal="right"/>
    </xf>
    <xf numFmtId="0" fontId="13" fillId="2" borderId="0" xfId="0" applyFont="1" applyFill="1"/>
    <xf numFmtId="0" fontId="14" fillId="2" borderId="6" xfId="0" applyFont="1" applyFill="1" applyBorder="1" applyAlignment="1">
      <alignment vertical="center"/>
    </xf>
    <xf numFmtId="0" fontId="14" fillId="2" borderId="9" xfId="0" applyFont="1" applyFill="1" applyBorder="1" applyAlignment="1">
      <alignment horizontal="center"/>
    </xf>
    <xf numFmtId="0" fontId="12" fillId="2" borderId="7" xfId="0" applyFont="1" applyFill="1" applyBorder="1"/>
    <xf numFmtId="0" fontId="12" fillId="2" borderId="4" xfId="0" applyFont="1" applyFill="1" applyBorder="1"/>
    <xf numFmtId="0" fontId="33" fillId="2" borderId="0" xfId="0" applyFont="1" applyFill="1" applyAlignment="1">
      <alignment vertical="center"/>
    </xf>
    <xf numFmtId="0" fontId="14" fillId="2" borderId="3" xfId="0" applyFont="1" applyFill="1" applyBorder="1"/>
    <xf numFmtId="165" fontId="14" fillId="2" borderId="5" xfId="0" applyNumberFormat="1" applyFont="1" applyFill="1" applyBorder="1"/>
    <xf numFmtId="0" fontId="12" fillId="2" borderId="5" xfId="0" applyFont="1" applyFill="1" applyBorder="1"/>
    <xf numFmtId="0" fontId="14" fillId="2" borderId="6" xfId="0" applyFont="1" applyFill="1" applyBorder="1"/>
    <xf numFmtId="0" fontId="14" fillId="2" borderId="5" xfId="0" applyFont="1" applyFill="1" applyBorder="1"/>
    <xf numFmtId="43" fontId="12" fillId="2" borderId="0" xfId="0" applyNumberFormat="1" applyFont="1" applyFill="1"/>
    <xf numFmtId="2" fontId="12" fillId="2" borderId="0" xfId="0" applyNumberFormat="1" applyFont="1" applyFill="1"/>
    <xf numFmtId="0" fontId="14" fillId="2" borderId="7" xfId="0" applyFont="1" applyFill="1" applyBorder="1"/>
    <xf numFmtId="0" fontId="21" fillId="2" borderId="4" xfId="0" applyFont="1" applyFill="1" applyBorder="1"/>
    <xf numFmtId="0" fontId="15" fillId="2" borderId="4" xfId="0" applyFont="1" applyFill="1" applyBorder="1" applyAlignment="1">
      <alignment vertical="center"/>
    </xf>
    <xf numFmtId="0" fontId="12" fillId="2" borderId="14" xfId="0" applyFont="1" applyFill="1" applyBorder="1"/>
    <xf numFmtId="0" fontId="12" fillId="7" borderId="0" xfId="0" applyFont="1" applyFill="1"/>
    <xf numFmtId="0" fontId="12" fillId="2" borderId="6" xfId="0" applyFont="1" applyFill="1" applyBorder="1"/>
    <xf numFmtId="0" fontId="12" fillId="2" borderId="9" xfId="0" applyFont="1" applyFill="1" applyBorder="1" applyAlignment="1">
      <alignment horizontal="center"/>
    </xf>
    <xf numFmtId="0" fontId="16" fillId="2" borderId="0" xfId="0" applyFont="1" applyFill="1" applyAlignment="1">
      <alignment horizontal="center" vertical="center" wrapText="1"/>
    </xf>
    <xf numFmtId="1" fontId="7" fillId="2" borderId="0" xfId="0" applyNumberFormat="1" applyFont="1" applyFill="1"/>
    <xf numFmtId="0" fontId="51" fillId="2" borderId="0" xfId="0" applyFont="1" applyFill="1" applyAlignment="1">
      <alignment horizontal="center" vertical="center" wrapText="1"/>
    </xf>
    <xf numFmtId="165" fontId="7" fillId="2" borderId="0" xfId="0" applyNumberFormat="1" applyFont="1" applyFill="1" applyAlignment="1">
      <alignment horizontal="center"/>
    </xf>
    <xf numFmtId="164" fontId="12" fillId="2" borderId="0" xfId="0" applyNumberFormat="1" applyFont="1" applyFill="1"/>
    <xf numFmtId="0" fontId="21" fillId="2" borderId="0" xfId="0" applyFont="1" applyFill="1" applyAlignment="1">
      <alignment horizontal="left" vertical="center" wrapText="1"/>
    </xf>
    <xf numFmtId="166" fontId="14" fillId="2" borderId="0" xfId="1" applyNumberFormat="1" applyFont="1" applyFill="1"/>
    <xf numFmtId="0" fontId="0" fillId="2" borderId="24" xfId="0" applyFill="1" applyBorder="1"/>
    <xf numFmtId="0" fontId="54" fillId="2" borderId="0" xfId="0" applyFont="1" applyFill="1" applyAlignment="1">
      <alignment horizontal="center" vertical="center"/>
    </xf>
    <xf numFmtId="0" fontId="55" fillId="2" borderId="0" xfId="0" applyFont="1" applyFill="1" applyAlignment="1">
      <alignment horizontal="center" vertical="center"/>
    </xf>
    <xf numFmtId="0" fontId="56" fillId="2" borderId="0" xfId="0" applyFont="1" applyFill="1"/>
    <xf numFmtId="0" fontId="55" fillId="2" borderId="0" xfId="0" applyFont="1" applyFill="1"/>
    <xf numFmtId="0" fontId="57" fillId="2" borderId="0" xfId="0" applyFont="1" applyFill="1"/>
    <xf numFmtId="0" fontId="57" fillId="2" borderId="0" xfId="0" applyFont="1" applyFill="1" applyAlignment="1">
      <alignment vertical="center"/>
    </xf>
    <xf numFmtId="0" fontId="58" fillId="16" borderId="12" xfId="0" applyFont="1" applyFill="1" applyBorder="1" applyAlignment="1">
      <alignment horizontal="center" vertical="center"/>
    </xf>
    <xf numFmtId="0" fontId="58" fillId="16" borderId="35" xfId="0" applyFont="1" applyFill="1" applyBorder="1" applyAlignment="1">
      <alignment horizontal="center" vertical="center"/>
    </xf>
    <xf numFmtId="0" fontId="58" fillId="16" borderId="11" xfId="0" applyFont="1" applyFill="1" applyBorder="1" applyAlignment="1">
      <alignment horizontal="center" vertical="center"/>
    </xf>
    <xf numFmtId="0" fontId="58" fillId="16" borderId="1" xfId="0" applyFont="1" applyFill="1" applyBorder="1" applyAlignment="1">
      <alignment horizontal="center" vertical="center" wrapText="1"/>
    </xf>
    <xf numFmtId="0" fontId="59" fillId="2" borderId="1" xfId="0" applyFont="1" applyFill="1" applyBorder="1" applyAlignment="1">
      <alignment horizontal="center" vertical="center"/>
    </xf>
    <xf numFmtId="0" fontId="60" fillId="2" borderId="1" xfId="0" applyFont="1" applyFill="1" applyBorder="1" applyAlignment="1">
      <alignment horizontal="center" vertical="center"/>
    </xf>
    <xf numFmtId="0" fontId="61" fillId="2" borderId="1" xfId="0" applyFont="1" applyFill="1" applyBorder="1" applyAlignment="1">
      <alignment horizontal="center" vertical="center" wrapText="1"/>
    </xf>
    <xf numFmtId="0" fontId="61" fillId="0" borderId="1" xfId="0" applyFont="1" applyBorder="1" applyAlignment="1">
      <alignment horizontal="center" vertical="center"/>
    </xf>
    <xf numFmtId="0" fontId="59" fillId="0" borderId="1" xfId="0" applyFont="1" applyBorder="1" applyAlignment="1">
      <alignment horizontal="center" vertical="center"/>
    </xf>
    <xf numFmtId="0" fontId="61" fillId="18" borderId="1" xfId="0" applyFont="1" applyFill="1" applyBorder="1" applyAlignment="1">
      <alignment horizontal="center" vertical="center"/>
    </xf>
    <xf numFmtId="0" fontId="61" fillId="2" borderId="1" xfId="0" applyFont="1" applyFill="1" applyBorder="1" applyAlignment="1">
      <alignment horizontal="center" vertical="center"/>
    </xf>
    <xf numFmtId="0" fontId="62" fillId="2" borderId="0" xfId="0" applyFont="1" applyFill="1" applyAlignment="1">
      <alignment vertical="center"/>
    </xf>
    <xf numFmtId="0" fontId="61" fillId="2" borderId="0" xfId="0" applyFont="1" applyFill="1" applyAlignment="1">
      <alignment horizontal="center" vertical="center"/>
    </xf>
    <xf numFmtId="9" fontId="61" fillId="2" borderId="1" xfId="0" applyNumberFormat="1" applyFont="1" applyFill="1" applyBorder="1" applyAlignment="1">
      <alignment horizontal="center" vertical="center" wrapText="1"/>
    </xf>
    <xf numFmtId="0" fontId="59" fillId="0" borderId="1" xfId="0" quotePrefix="1" applyFont="1" applyBorder="1" applyAlignment="1">
      <alignment horizontal="center" vertical="center"/>
    </xf>
    <xf numFmtId="0" fontId="64" fillId="19" borderId="1" xfId="0" applyFont="1" applyFill="1" applyBorder="1" applyAlignment="1">
      <alignment horizontal="center" vertical="center"/>
    </xf>
    <xf numFmtId="0" fontId="65" fillId="0" borderId="1" xfId="0" applyFont="1" applyBorder="1" applyAlignment="1">
      <alignment horizontal="center" vertical="center" wrapText="1"/>
    </xf>
    <xf numFmtId="0" fontId="66" fillId="2" borderId="1" xfId="0" applyFont="1" applyFill="1" applyBorder="1" applyAlignment="1">
      <alignment horizontal="center" vertical="center" wrapText="1"/>
    </xf>
    <xf numFmtId="6" fontId="61" fillId="2" borderId="1" xfId="0" applyNumberFormat="1" applyFont="1" applyFill="1" applyBorder="1" applyAlignment="1">
      <alignment horizontal="center" vertical="center" wrapText="1"/>
    </xf>
    <xf numFmtId="0" fontId="38" fillId="0" borderId="0" xfId="0" applyFont="1" applyAlignment="1">
      <alignment horizontal="center" vertical="center"/>
    </xf>
    <xf numFmtId="0" fontId="59" fillId="2" borderId="1" xfId="0" applyFont="1" applyFill="1" applyBorder="1" applyAlignment="1">
      <alignment horizontal="center" vertical="center" wrapText="1"/>
    </xf>
    <xf numFmtId="0" fontId="38" fillId="0" borderId="1" xfId="0" applyFont="1" applyBorder="1" applyAlignment="1">
      <alignment horizontal="center" vertical="center"/>
    </xf>
    <xf numFmtId="0" fontId="38" fillId="0" borderId="19" xfId="0" applyFont="1" applyBorder="1" applyAlignment="1">
      <alignment horizontal="center" vertical="center"/>
    </xf>
    <xf numFmtId="0" fontId="61" fillId="2" borderId="11" xfId="0" applyFont="1" applyFill="1" applyBorder="1" applyAlignment="1">
      <alignment horizontal="center" vertical="center"/>
    </xf>
    <xf numFmtId="9" fontId="61" fillId="2" borderId="12" xfId="0" applyNumberFormat="1" applyFont="1" applyFill="1" applyBorder="1" applyAlignment="1">
      <alignment horizontal="center" vertical="center" wrapText="1"/>
    </xf>
    <xf numFmtId="0" fontId="67" fillId="0" borderId="24" xfId="0" applyFont="1" applyBorder="1" applyAlignment="1">
      <alignment horizontal="center" wrapText="1"/>
    </xf>
    <xf numFmtId="0" fontId="61" fillId="2" borderId="11" xfId="0" applyFont="1" applyFill="1" applyBorder="1" applyAlignment="1">
      <alignment horizontal="center" vertical="center" wrapText="1"/>
    </xf>
    <xf numFmtId="0" fontId="59" fillId="0" borderId="12" xfId="0" applyFont="1" applyBorder="1" applyAlignment="1">
      <alignment horizontal="center" vertical="center"/>
    </xf>
    <xf numFmtId="0" fontId="69" fillId="2" borderId="24" xfId="0" applyFont="1" applyFill="1" applyBorder="1" applyAlignment="1">
      <alignment horizontal="center" vertical="center" wrapText="1"/>
    </xf>
    <xf numFmtId="0" fontId="69" fillId="18" borderId="24" xfId="0" applyFont="1" applyFill="1" applyBorder="1" applyAlignment="1">
      <alignment horizontal="center" vertical="center" wrapText="1"/>
    </xf>
    <xf numFmtId="0" fontId="61" fillId="2" borderId="20" xfId="0" applyFont="1" applyFill="1" applyBorder="1" applyAlignment="1">
      <alignment horizontal="center" vertical="center"/>
    </xf>
    <xf numFmtId="0" fontId="69" fillId="2" borderId="1" xfId="0" applyFont="1" applyFill="1" applyBorder="1" applyAlignment="1">
      <alignment horizontal="center" vertical="center" wrapText="1"/>
    </xf>
    <xf numFmtId="0" fontId="60" fillId="19" borderId="1" xfId="0" applyFont="1" applyFill="1" applyBorder="1" applyAlignment="1">
      <alignment horizontal="center" vertical="center"/>
    </xf>
    <xf numFmtId="0" fontId="61" fillId="0" borderId="1" xfId="0" quotePrefix="1" applyFont="1" applyBorder="1" applyAlignment="1">
      <alignment horizontal="center" vertical="center"/>
    </xf>
    <xf numFmtId="0" fontId="70" fillId="2" borderId="1" xfId="0" applyFont="1" applyFill="1" applyBorder="1" applyAlignment="1">
      <alignment horizontal="center" vertical="center" wrapText="1"/>
    </xf>
    <xf numFmtId="0" fontId="70" fillId="2" borderId="0" xfId="0" applyFont="1" applyFill="1" applyAlignment="1">
      <alignment horizontal="center" vertical="center"/>
    </xf>
    <xf numFmtId="0" fontId="71" fillId="2" borderId="1" xfId="0" applyFont="1" applyFill="1" applyBorder="1" applyAlignment="1">
      <alignment horizontal="center" vertical="center" wrapText="1"/>
    </xf>
    <xf numFmtId="6" fontId="71" fillId="2" borderId="1" xfId="0" applyNumberFormat="1" applyFont="1" applyFill="1" applyBorder="1" applyAlignment="1">
      <alignment horizontal="center" vertical="center" wrapText="1"/>
    </xf>
    <xf numFmtId="9" fontId="70" fillId="2" borderId="1" xfId="0" applyNumberFormat="1" applyFont="1" applyFill="1" applyBorder="1" applyAlignment="1">
      <alignment horizontal="center" vertical="center" wrapText="1"/>
    </xf>
    <xf numFmtId="0" fontId="72" fillId="2" borderId="1" xfId="0" applyFont="1" applyFill="1" applyBorder="1" applyAlignment="1">
      <alignment horizontal="center" vertical="center"/>
    </xf>
    <xf numFmtId="9" fontId="59" fillId="2" borderId="1" xfId="0" applyNumberFormat="1" applyFont="1" applyFill="1" applyBorder="1" applyAlignment="1">
      <alignment horizontal="center" vertical="center" wrapText="1"/>
    </xf>
    <xf numFmtId="6" fontId="59" fillId="2" borderId="1" xfId="0" applyNumberFormat="1" applyFont="1" applyFill="1" applyBorder="1" applyAlignment="1">
      <alignment horizontal="center" vertical="center" wrapText="1"/>
    </xf>
    <xf numFmtId="0" fontId="59" fillId="2" borderId="1" xfId="7" applyFont="1" applyFill="1" applyBorder="1" applyAlignment="1">
      <alignment horizontal="center" vertical="center" wrapText="1"/>
    </xf>
    <xf numFmtId="166" fontId="61" fillId="2" borderId="1" xfId="0" applyNumberFormat="1" applyFont="1" applyFill="1" applyBorder="1" applyAlignment="1">
      <alignment horizontal="center" vertical="center" wrapText="1"/>
    </xf>
    <xf numFmtId="0" fontId="71" fillId="2" borderId="1" xfId="7" applyFont="1" applyFill="1" applyBorder="1" applyAlignment="1">
      <alignment horizontal="center" vertical="center" wrapText="1"/>
    </xf>
    <xf numFmtId="0" fontId="61" fillId="19" borderId="1" xfId="0" applyFont="1" applyFill="1" applyBorder="1" applyAlignment="1">
      <alignment horizontal="center" vertical="center" wrapText="1"/>
    </xf>
    <xf numFmtId="0" fontId="61" fillId="0" borderId="1" xfId="0" applyFont="1" applyBorder="1" applyAlignment="1">
      <alignment horizontal="center" vertical="center" wrapText="1"/>
    </xf>
    <xf numFmtId="0" fontId="61" fillId="19" borderId="0" xfId="0" applyFont="1" applyFill="1" applyAlignment="1">
      <alignment horizontal="center" vertical="center"/>
    </xf>
    <xf numFmtId="6" fontId="61" fillId="19" borderId="1" xfId="0" applyNumberFormat="1" applyFont="1" applyFill="1" applyBorder="1" applyAlignment="1">
      <alignment horizontal="center" vertical="center" wrapText="1"/>
    </xf>
    <xf numFmtId="9" fontId="61" fillId="19" borderId="1" xfId="0" applyNumberFormat="1" applyFont="1" applyFill="1" applyBorder="1" applyAlignment="1">
      <alignment horizontal="center" vertical="center" wrapText="1"/>
    </xf>
    <xf numFmtId="0" fontId="61" fillId="2" borderId="1" xfId="0" applyFont="1" applyFill="1" applyBorder="1" applyAlignment="1">
      <alignment horizontal="center" vertical="center" wrapText="1" indent="1"/>
    </xf>
    <xf numFmtId="0" fontId="74" fillId="2" borderId="1" xfId="0" applyFont="1" applyFill="1" applyBorder="1" applyAlignment="1">
      <alignment horizontal="center" vertical="center" wrapText="1"/>
    </xf>
    <xf numFmtId="9" fontId="69" fillId="2" borderId="1" xfId="0" applyNumberFormat="1" applyFont="1" applyFill="1" applyBorder="1" applyAlignment="1">
      <alignment horizontal="center" vertical="center" wrapText="1"/>
    </xf>
    <xf numFmtId="0" fontId="61" fillId="0" borderId="1" xfId="0" applyFont="1" applyBorder="1" applyAlignment="1">
      <alignment horizontal="center" vertical="center" indent="1"/>
    </xf>
    <xf numFmtId="0" fontId="74" fillId="0" borderId="1" xfId="0" applyFont="1" applyBorder="1" applyAlignment="1">
      <alignment horizontal="center" vertical="center"/>
    </xf>
    <xf numFmtId="0" fontId="61" fillId="2" borderId="1" xfId="0" applyFont="1" applyFill="1" applyBorder="1" applyAlignment="1">
      <alignment horizontal="center" vertical="center" indent="1"/>
    </xf>
    <xf numFmtId="0" fontId="74" fillId="7" borderId="1" xfId="0" applyFont="1" applyFill="1" applyBorder="1" applyAlignment="1">
      <alignment horizontal="center" vertical="center" wrapText="1"/>
    </xf>
    <xf numFmtId="164" fontId="61" fillId="2" borderId="1" xfId="0" applyNumberFormat="1" applyFont="1" applyFill="1" applyBorder="1" applyAlignment="1">
      <alignment horizontal="center" vertical="center" wrapText="1"/>
    </xf>
    <xf numFmtId="0" fontId="76" fillId="2" borderId="1" xfId="7" applyFont="1" applyFill="1" applyBorder="1" applyAlignment="1">
      <alignment horizontal="center" vertical="center" wrapText="1"/>
    </xf>
    <xf numFmtId="9" fontId="77" fillId="0" borderId="0" xfId="0" applyNumberFormat="1" applyFont="1" applyAlignment="1">
      <alignment horizontal="center" vertical="center"/>
    </xf>
    <xf numFmtId="0" fontId="61" fillId="7" borderId="1" xfId="0" applyFont="1" applyFill="1" applyBorder="1" applyAlignment="1">
      <alignment horizontal="center" vertical="center" wrapText="1"/>
    </xf>
    <xf numFmtId="0" fontId="78" fillId="0" borderId="1" xfId="0" applyFont="1" applyBorder="1" applyAlignment="1">
      <alignment horizontal="center" vertical="center" wrapText="1"/>
    </xf>
    <xf numFmtId="0" fontId="0" fillId="0" borderId="0" xfId="0" applyAlignment="1">
      <alignment horizontal="center" vertical="center"/>
    </xf>
    <xf numFmtId="0" fontId="38" fillId="0" borderId="24" xfId="0" applyFont="1" applyBorder="1" applyAlignment="1">
      <alignment horizontal="center" vertical="center"/>
    </xf>
    <xf numFmtId="0" fontId="61" fillId="2" borderId="20" xfId="0" applyFont="1" applyFill="1" applyBorder="1" applyAlignment="1">
      <alignment horizontal="center" vertical="center" wrapText="1"/>
    </xf>
    <xf numFmtId="0" fontId="61" fillId="0" borderId="19" xfId="0" applyFont="1" applyBorder="1" applyAlignment="1">
      <alignment horizontal="center" vertical="center"/>
    </xf>
    <xf numFmtId="0" fontId="61" fillId="0" borderId="24" xfId="0" applyFont="1" applyBorder="1" applyAlignment="1">
      <alignment horizontal="center" vertical="center"/>
    </xf>
    <xf numFmtId="0" fontId="61" fillId="0" borderId="20" xfId="0" applyFont="1" applyBorder="1" applyAlignment="1">
      <alignment horizontal="center" vertical="center"/>
    </xf>
    <xf numFmtId="0" fontId="59" fillId="0" borderId="1" xfId="0" applyFont="1" applyBorder="1" applyAlignment="1">
      <alignment horizontal="center" vertical="center" wrapText="1"/>
    </xf>
    <xf numFmtId="0" fontId="59" fillId="2" borderId="1" xfId="0" quotePrefix="1" applyFont="1" applyFill="1" applyBorder="1" applyAlignment="1">
      <alignment horizontal="center" vertical="center"/>
    </xf>
    <xf numFmtId="0" fontId="61" fillId="18" borderId="1" xfId="0" applyFont="1" applyFill="1" applyBorder="1" applyAlignment="1">
      <alignment horizontal="center" vertical="center" wrapText="1"/>
    </xf>
    <xf numFmtId="9" fontId="61" fillId="2" borderId="1" xfId="0" applyNumberFormat="1" applyFont="1" applyFill="1" applyBorder="1" applyAlignment="1">
      <alignment horizontal="center" vertical="center"/>
    </xf>
    <xf numFmtId="0" fontId="79" fillId="2" borderId="0" xfId="0" applyFont="1" applyFill="1"/>
    <xf numFmtId="0" fontId="57" fillId="2" borderId="0" xfId="0" applyFont="1" applyFill="1" applyAlignment="1">
      <alignment horizontal="center" vertical="center"/>
    </xf>
    <xf numFmtId="167" fontId="47" fillId="2" borderId="1" xfId="0" applyNumberFormat="1" applyFont="1" applyFill="1" applyBorder="1" applyAlignment="1">
      <alignment horizontal="center"/>
    </xf>
    <xf numFmtId="0" fontId="0" fillId="2" borderId="19" xfId="0" applyFill="1" applyBorder="1"/>
    <xf numFmtId="167" fontId="47" fillId="2" borderId="40" xfId="0" applyNumberFormat="1" applyFont="1" applyFill="1" applyBorder="1" applyAlignment="1">
      <alignment horizontal="center"/>
    </xf>
    <xf numFmtId="167" fontId="47" fillId="2" borderId="41" xfId="0" applyNumberFormat="1" applyFont="1" applyFill="1" applyBorder="1" applyAlignment="1">
      <alignment horizontal="center"/>
    </xf>
    <xf numFmtId="0" fontId="47" fillId="2" borderId="26" xfId="0" applyFont="1" applyFill="1" applyBorder="1" applyAlignment="1">
      <alignment horizontal="left"/>
    </xf>
    <xf numFmtId="0" fontId="47" fillId="2" borderId="46" xfId="0" applyFont="1" applyFill="1" applyBorder="1"/>
    <xf numFmtId="0" fontId="44" fillId="2" borderId="46" xfId="0" applyFont="1" applyFill="1" applyBorder="1" applyAlignment="1">
      <alignment horizontal="left"/>
    </xf>
    <xf numFmtId="0" fontId="47" fillId="2" borderId="47" xfId="0" applyFont="1" applyFill="1" applyBorder="1"/>
    <xf numFmtId="0" fontId="0" fillId="2" borderId="45" xfId="0" applyFill="1" applyBorder="1" applyAlignment="1">
      <alignment horizontal="center"/>
    </xf>
    <xf numFmtId="0" fontId="0" fillId="2" borderId="45" xfId="0" applyFill="1" applyBorder="1"/>
    <xf numFmtId="0" fontId="47" fillId="2" borderId="51" xfId="0" applyFont="1" applyFill="1" applyBorder="1"/>
    <xf numFmtId="0" fontId="45" fillId="2" borderId="51" xfId="0" applyFont="1" applyFill="1" applyBorder="1" applyAlignment="1">
      <alignment horizontal="left"/>
    </xf>
    <xf numFmtId="0" fontId="47" fillId="2" borderId="50" xfId="0" applyFont="1" applyFill="1" applyBorder="1"/>
    <xf numFmtId="0" fontId="45" fillId="2" borderId="50" xfId="0" applyFont="1" applyFill="1" applyBorder="1" applyAlignment="1">
      <alignment horizontal="left"/>
    </xf>
    <xf numFmtId="0" fontId="0" fillId="2" borderId="1" xfId="0" applyFill="1" applyBorder="1"/>
    <xf numFmtId="0" fontId="47" fillId="2" borderId="39" xfId="0" applyFont="1" applyFill="1" applyBorder="1"/>
    <xf numFmtId="0" fontId="0" fillId="2" borderId="1" xfId="0" applyFill="1" applyBorder="1" applyAlignment="1">
      <alignment horizontal="left"/>
    </xf>
    <xf numFmtId="167" fontId="47" fillId="2" borderId="19" xfId="0" applyNumberFormat="1" applyFont="1" applyFill="1" applyBorder="1" applyAlignment="1">
      <alignment horizontal="center"/>
    </xf>
    <xf numFmtId="0" fontId="0" fillId="2" borderId="51" xfId="0" applyFill="1" applyBorder="1" applyAlignment="1">
      <alignment horizontal="left"/>
    </xf>
    <xf numFmtId="0" fontId="0" fillId="2" borderId="24" xfId="0" applyFill="1" applyBorder="1" applyAlignment="1">
      <alignment horizontal="left"/>
    </xf>
    <xf numFmtId="0" fontId="0" fillId="2" borderId="26" xfId="0" applyFill="1" applyBorder="1"/>
    <xf numFmtId="0" fontId="0" fillId="2" borderId="24" xfId="0" applyFill="1" applyBorder="1" applyAlignment="1">
      <alignment horizontal="center"/>
    </xf>
    <xf numFmtId="0" fontId="0" fillId="2" borderId="46" xfId="0" applyFill="1" applyBorder="1" applyAlignment="1">
      <alignment horizontal="left"/>
    </xf>
    <xf numFmtId="167" fontId="0" fillId="2" borderId="22" xfId="0" applyNumberFormat="1" applyFill="1" applyBorder="1" applyAlignment="1">
      <alignment horizontal="center"/>
    </xf>
    <xf numFmtId="0" fontId="0" fillId="2" borderId="51" xfId="0" applyFill="1" applyBorder="1"/>
    <xf numFmtId="0" fontId="0" fillId="2" borderId="46" xfId="0" applyFill="1" applyBorder="1" applyAlignment="1">
      <alignment horizontal="center"/>
    </xf>
    <xf numFmtId="0" fontId="0" fillId="2" borderId="1" xfId="0" applyFill="1" applyBorder="1" applyAlignment="1">
      <alignment horizontal="center"/>
    </xf>
    <xf numFmtId="0" fontId="0" fillId="2" borderId="22" xfId="0" applyFill="1" applyBorder="1" applyAlignment="1">
      <alignment horizontal="center"/>
    </xf>
    <xf numFmtId="0" fontId="0" fillId="2" borderId="26" xfId="0" applyFill="1" applyBorder="1" applyAlignment="1">
      <alignment horizontal="left"/>
    </xf>
    <xf numFmtId="0" fontId="3" fillId="2" borderId="46" xfId="7" applyFill="1" applyBorder="1" applyAlignment="1">
      <alignment horizontal="left"/>
    </xf>
    <xf numFmtId="0" fontId="0" fillId="2" borderId="25" xfId="0" applyFill="1" applyBorder="1" applyAlignment="1">
      <alignment horizontal="center"/>
    </xf>
    <xf numFmtId="167" fontId="0" fillId="2" borderId="1" xfId="0" applyNumberFormat="1" applyFill="1" applyBorder="1" applyAlignment="1">
      <alignment horizontal="center"/>
    </xf>
    <xf numFmtId="0" fontId="0" fillId="2" borderId="23" xfId="0" applyFill="1" applyBorder="1" applyAlignment="1">
      <alignment horizontal="center"/>
    </xf>
    <xf numFmtId="0" fontId="0" fillId="2" borderId="19" xfId="0" applyFill="1" applyBorder="1" applyAlignment="1">
      <alignment horizontal="center"/>
    </xf>
    <xf numFmtId="0" fontId="0" fillId="2" borderId="27" xfId="0" applyFill="1" applyBorder="1"/>
    <xf numFmtId="0" fontId="0" fillId="2" borderId="28" xfId="0" applyFill="1" applyBorder="1"/>
    <xf numFmtId="0" fontId="0" fillId="2" borderId="52" xfId="0" applyFill="1" applyBorder="1"/>
    <xf numFmtId="0" fontId="0" fillId="2" borderId="48" xfId="0" applyFill="1" applyBorder="1" applyAlignment="1">
      <alignment horizontal="center"/>
    </xf>
    <xf numFmtId="0" fontId="0" fillId="2" borderId="27" xfId="0" applyFill="1" applyBorder="1" applyAlignment="1">
      <alignment horizontal="left"/>
    </xf>
    <xf numFmtId="0" fontId="0" fillId="2" borderId="25" xfId="0" applyFill="1" applyBorder="1"/>
    <xf numFmtId="167" fontId="0" fillId="2" borderId="32" xfId="0" applyNumberFormat="1" applyFill="1" applyBorder="1" applyAlignment="1">
      <alignment horizontal="center"/>
    </xf>
    <xf numFmtId="0" fontId="0" fillId="2" borderId="29" xfId="0" applyFill="1" applyBorder="1"/>
    <xf numFmtId="0" fontId="0" fillId="2" borderId="50" xfId="0" applyFill="1" applyBorder="1"/>
    <xf numFmtId="0" fontId="0" fillId="2" borderId="47" xfId="0" applyFill="1" applyBorder="1" applyAlignment="1">
      <alignment horizontal="center"/>
    </xf>
    <xf numFmtId="0" fontId="0" fillId="2" borderId="47" xfId="0" applyFill="1" applyBorder="1" applyAlignment="1">
      <alignment horizontal="left"/>
    </xf>
    <xf numFmtId="0" fontId="0" fillId="2" borderId="42" xfId="0" applyFill="1" applyBorder="1"/>
    <xf numFmtId="0" fontId="0" fillId="2" borderId="50" xfId="0" applyFill="1" applyBorder="1" applyAlignment="1">
      <alignment horizontal="center"/>
    </xf>
    <xf numFmtId="0" fontId="0" fillId="2" borderId="37" xfId="0" applyFill="1" applyBorder="1" applyAlignment="1">
      <alignment horizontal="center"/>
    </xf>
    <xf numFmtId="0" fontId="0" fillId="2" borderId="47" xfId="0" applyFill="1" applyBorder="1"/>
    <xf numFmtId="0" fontId="0" fillId="2" borderId="34" xfId="0" applyFill="1" applyBorder="1"/>
    <xf numFmtId="49" fontId="0" fillId="2" borderId="1" xfId="0" applyNumberFormat="1" applyFill="1" applyBorder="1" applyAlignment="1">
      <alignment horizontal="center"/>
    </xf>
    <xf numFmtId="0" fontId="80" fillId="4" borderId="0" xfId="0" applyFont="1" applyFill="1"/>
    <xf numFmtId="0" fontId="80" fillId="4" borderId="45" xfId="0" applyFont="1" applyFill="1" applyBorder="1"/>
    <xf numFmtId="0" fontId="80" fillId="4" borderId="0" xfId="0" applyFont="1" applyFill="1" applyAlignment="1">
      <alignment horizontal="center"/>
    </xf>
    <xf numFmtId="167" fontId="80" fillId="4" borderId="0" xfId="0" applyNumberFormat="1" applyFont="1" applyFill="1" applyAlignment="1">
      <alignment horizontal="center"/>
    </xf>
    <xf numFmtId="0" fontId="80" fillId="4" borderId="45" xfId="0" applyFont="1" applyFill="1" applyBorder="1" applyAlignment="1">
      <alignment horizontal="center"/>
    </xf>
    <xf numFmtId="167" fontId="81" fillId="4" borderId="0" xfId="0" applyNumberFormat="1" applyFont="1" applyFill="1" applyAlignment="1">
      <alignment horizontal="center"/>
    </xf>
    <xf numFmtId="0" fontId="46" fillId="2" borderId="0" xfId="0" applyFont="1" applyFill="1"/>
    <xf numFmtId="0" fontId="0" fillId="2" borderId="50" xfId="0" applyFill="1" applyBorder="1" applyAlignment="1">
      <alignment horizontal="left"/>
    </xf>
    <xf numFmtId="0" fontId="0" fillId="2" borderId="24" xfId="7" applyFont="1" applyFill="1" applyBorder="1" applyAlignment="1">
      <alignment horizontal="center"/>
    </xf>
    <xf numFmtId="0" fontId="0" fillId="2" borderId="25" xfId="7" applyFont="1" applyFill="1" applyBorder="1" applyAlignment="1">
      <alignment horizontal="center"/>
    </xf>
    <xf numFmtId="0" fontId="0" fillId="2" borderId="30" xfId="7" applyFont="1" applyFill="1" applyBorder="1" applyAlignment="1">
      <alignment horizontal="center"/>
    </xf>
    <xf numFmtId="0" fontId="0" fillId="2" borderId="1" xfId="7" applyFont="1" applyFill="1" applyBorder="1" applyAlignment="1">
      <alignment horizontal="center"/>
    </xf>
    <xf numFmtId="0" fontId="47" fillId="2" borderId="1" xfId="0" applyFont="1" applyFill="1" applyBorder="1"/>
    <xf numFmtId="0" fontId="47" fillId="2" borderId="19" xfId="0" applyFont="1" applyFill="1" applyBorder="1"/>
    <xf numFmtId="0" fontId="47" fillId="2" borderId="28" xfId="0" applyFont="1" applyFill="1" applyBorder="1"/>
    <xf numFmtId="0" fontId="0" fillId="2" borderId="36" xfId="0" applyFill="1" applyBorder="1" applyAlignment="1">
      <alignment horizontal="left"/>
    </xf>
    <xf numFmtId="0" fontId="47" fillId="2" borderId="36" xfId="0" applyFont="1" applyFill="1" applyBorder="1"/>
    <xf numFmtId="0" fontId="47" fillId="2" borderId="38" xfId="0" applyFont="1" applyFill="1" applyBorder="1"/>
    <xf numFmtId="0" fontId="0" fillId="2" borderId="25" xfId="0" applyFill="1" applyBorder="1" applyAlignment="1">
      <alignment horizontal="left"/>
    </xf>
    <xf numFmtId="0" fontId="0" fillId="2" borderId="46" xfId="0" applyFill="1" applyBorder="1"/>
    <xf numFmtId="0" fontId="0" fillId="2" borderId="50" xfId="0" applyFill="1" applyBorder="1" applyAlignment="1">
      <alignment horizontal="left" wrapText="1"/>
    </xf>
    <xf numFmtId="0" fontId="44" fillId="2" borderId="50" xfId="0" applyFont="1" applyFill="1" applyBorder="1" applyAlignment="1">
      <alignment horizontal="left"/>
    </xf>
    <xf numFmtId="167" fontId="47" fillId="2" borderId="26" xfId="0" applyNumberFormat="1" applyFont="1" applyFill="1" applyBorder="1" applyAlignment="1">
      <alignment horizontal="left"/>
    </xf>
    <xf numFmtId="0" fontId="47" fillId="2" borderId="0" xfId="0" applyFont="1" applyFill="1"/>
    <xf numFmtId="0" fontId="47" fillId="2" borderId="34" xfId="0" applyFont="1" applyFill="1" applyBorder="1"/>
    <xf numFmtId="49" fontId="0" fillId="2" borderId="25" xfId="0" applyNumberFormat="1" applyFill="1" applyBorder="1" applyAlignment="1">
      <alignment horizontal="center"/>
    </xf>
    <xf numFmtId="0" fontId="0" fillId="2" borderId="1" xfId="0" quotePrefix="1" applyFill="1" applyBorder="1" applyAlignment="1">
      <alignment horizontal="center"/>
    </xf>
    <xf numFmtId="167" fontId="47" fillId="2" borderId="54" xfId="0" applyNumberFormat="1" applyFont="1" applyFill="1" applyBorder="1" applyAlignment="1">
      <alignment horizontal="center"/>
    </xf>
    <xf numFmtId="167" fontId="47" fillId="2" borderId="53" xfId="0" applyNumberFormat="1" applyFont="1" applyFill="1" applyBorder="1" applyAlignment="1">
      <alignment horizontal="center"/>
    </xf>
    <xf numFmtId="167" fontId="0" fillId="2" borderId="26" xfId="0" applyNumberFormat="1" applyFill="1" applyBorder="1" applyAlignment="1">
      <alignment horizontal="center"/>
    </xf>
    <xf numFmtId="167" fontId="47" fillId="2" borderId="0" xfId="0" applyNumberFormat="1" applyFont="1" applyFill="1" applyAlignment="1">
      <alignment horizontal="center"/>
    </xf>
    <xf numFmtId="0" fontId="47" fillId="2" borderId="50" xfId="0" quotePrefix="1" applyFont="1" applyFill="1" applyBorder="1"/>
    <xf numFmtId="0" fontId="0" fillId="2" borderId="33" xfId="0" applyFill="1" applyBorder="1" applyAlignment="1">
      <alignment horizontal="center"/>
    </xf>
    <xf numFmtId="0" fontId="3" fillId="2" borderId="47" xfId="7" applyFill="1" applyBorder="1" applyAlignment="1">
      <alignment horizontal="left"/>
    </xf>
    <xf numFmtId="0" fontId="47" fillId="2" borderId="49" xfId="0" applyFont="1" applyFill="1" applyBorder="1"/>
    <xf numFmtId="167" fontId="47" fillId="2" borderId="12" xfId="0" applyNumberFormat="1" applyFont="1" applyFill="1" applyBorder="1" applyAlignment="1">
      <alignment horizontal="center"/>
    </xf>
    <xf numFmtId="167" fontId="47" fillId="2" borderId="1" xfId="0" quotePrefix="1" applyNumberFormat="1" applyFont="1" applyFill="1" applyBorder="1" applyAlignment="1">
      <alignment horizontal="center"/>
    </xf>
    <xf numFmtId="167" fontId="3" fillId="2" borderId="22" xfId="7" applyNumberFormat="1" applyFill="1" applyBorder="1" applyAlignment="1">
      <alignment horizontal="center"/>
    </xf>
    <xf numFmtId="0" fontId="0" fillId="2" borderId="20" xfId="0" applyFill="1" applyBorder="1" applyAlignment="1">
      <alignment horizontal="center"/>
    </xf>
    <xf numFmtId="0" fontId="0" fillId="2" borderId="22" xfId="0" applyFill="1" applyBorder="1"/>
    <xf numFmtId="0" fontId="0" fillId="2" borderId="22" xfId="0" applyFill="1" applyBorder="1" applyAlignment="1">
      <alignment horizontal="left"/>
    </xf>
    <xf numFmtId="0" fontId="0" fillId="2" borderId="23" xfId="0" applyFill="1" applyBorder="1"/>
    <xf numFmtId="167" fontId="47" fillId="2" borderId="22" xfId="0" applyNumberFormat="1" applyFont="1" applyFill="1" applyBorder="1"/>
    <xf numFmtId="0" fontId="0" fillId="2" borderId="32" xfId="0" applyFill="1" applyBorder="1"/>
    <xf numFmtId="0" fontId="47" fillId="2" borderId="32" xfId="0" applyFont="1" applyFill="1" applyBorder="1"/>
    <xf numFmtId="0" fontId="0" fillId="2" borderId="23" xfId="0" applyFill="1" applyBorder="1" applyAlignment="1">
      <alignment horizontal="left"/>
    </xf>
    <xf numFmtId="167" fontId="47" fillId="2" borderId="23" xfId="0" applyNumberFormat="1" applyFont="1" applyFill="1" applyBorder="1" applyAlignment="1">
      <alignment horizontal="left"/>
    </xf>
    <xf numFmtId="0" fontId="0" fillId="2" borderId="30" xfId="0" applyFill="1" applyBorder="1" applyAlignment="1">
      <alignment horizontal="center"/>
    </xf>
    <xf numFmtId="0" fontId="44" fillId="2" borderId="1" xfId="0" applyFont="1" applyFill="1" applyBorder="1" applyAlignment="1">
      <alignment horizontal="left"/>
    </xf>
    <xf numFmtId="0" fontId="47" fillId="2" borderId="10" xfId="0" applyFont="1" applyFill="1" applyBorder="1"/>
    <xf numFmtId="0" fontId="47" fillId="2" borderId="23" xfId="0" applyFont="1" applyFill="1" applyBorder="1"/>
    <xf numFmtId="167" fontId="47" fillId="2" borderId="12" xfId="0" applyNumberFormat="1" applyFont="1" applyFill="1" applyBorder="1" applyAlignment="1">
      <alignment horizontal="left"/>
    </xf>
    <xf numFmtId="167" fontId="47" fillId="2" borderId="20" xfId="0" applyNumberFormat="1" applyFont="1" applyFill="1" applyBorder="1" applyAlignment="1">
      <alignment horizontal="center"/>
    </xf>
    <xf numFmtId="0" fontId="0" fillId="2" borderId="55" xfId="0" applyFill="1" applyBorder="1" applyAlignment="1">
      <alignment horizontal="center"/>
    </xf>
    <xf numFmtId="0" fontId="0" fillId="2" borderId="26" xfId="0" applyFill="1" applyBorder="1" applyAlignment="1">
      <alignment horizontal="center"/>
    </xf>
    <xf numFmtId="0" fontId="0" fillId="2" borderId="26" xfId="7" applyFont="1" applyFill="1" applyBorder="1" applyAlignment="1">
      <alignment horizontal="center"/>
    </xf>
    <xf numFmtId="0" fontId="1" fillId="2" borderId="1" xfId="7" applyFont="1" applyFill="1" applyBorder="1"/>
    <xf numFmtId="164" fontId="0" fillId="2" borderId="1" xfId="0" applyNumberFormat="1" applyFill="1" applyBorder="1" applyAlignment="1">
      <alignment horizontal="center" vertical="center"/>
    </xf>
    <xf numFmtId="0" fontId="0" fillId="2" borderId="1" xfId="0" applyFill="1" applyBorder="1" applyAlignment="1">
      <alignment wrapText="1"/>
    </xf>
    <xf numFmtId="0" fontId="0" fillId="2" borderId="1" xfId="0" applyFill="1" applyBorder="1" applyAlignment="1">
      <alignment vertical="center"/>
    </xf>
    <xf numFmtId="9" fontId="12" fillId="2" borderId="0" xfId="0" applyNumberFormat="1" applyFont="1" applyFill="1"/>
    <xf numFmtId="0" fontId="63" fillId="2" borderId="1" xfId="0" applyFont="1" applyFill="1" applyBorder="1" applyAlignment="1">
      <alignment horizontal="center" vertical="center" wrapText="1"/>
    </xf>
    <xf numFmtId="0" fontId="64" fillId="2" borderId="1" xfId="0" applyFont="1" applyFill="1" applyBorder="1" applyAlignment="1">
      <alignment horizontal="center" vertical="center"/>
    </xf>
    <xf numFmtId="9" fontId="63" fillId="2" borderId="1" xfId="0" applyNumberFormat="1" applyFont="1" applyFill="1" applyBorder="1" applyAlignment="1">
      <alignment horizontal="center" vertical="center" wrapText="1"/>
    </xf>
    <xf numFmtId="0" fontId="83" fillId="0" borderId="0" xfId="0" applyFont="1" applyAlignment="1">
      <alignment horizontal="center" vertical="center"/>
    </xf>
    <xf numFmtId="0" fontId="63" fillId="0" borderId="1" xfId="0" applyFont="1" applyBorder="1" applyAlignment="1">
      <alignment horizontal="center" vertical="center"/>
    </xf>
    <xf numFmtId="0" fontId="63" fillId="2" borderId="1" xfId="0" applyFont="1" applyFill="1" applyBorder="1" applyAlignment="1">
      <alignment horizontal="center" vertical="center"/>
    </xf>
    <xf numFmtId="0" fontId="63" fillId="18" borderId="1" xfId="0" applyFont="1" applyFill="1" applyBorder="1" applyAlignment="1">
      <alignment horizontal="center" vertical="center"/>
    </xf>
    <xf numFmtId="0" fontId="63" fillId="2" borderId="0" xfId="0" applyFont="1" applyFill="1" applyAlignment="1">
      <alignment horizontal="center" vertical="center"/>
    </xf>
    <xf numFmtId="0" fontId="84" fillId="2" borderId="1" xfId="7" applyFont="1" applyFill="1" applyBorder="1" applyAlignment="1">
      <alignment horizontal="center" vertical="center" wrapText="1"/>
    </xf>
    <xf numFmtId="9" fontId="77" fillId="0" borderId="32" xfId="0" applyNumberFormat="1"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vertical="center"/>
    </xf>
    <xf numFmtId="0" fontId="88" fillId="12" borderId="57" xfId="0" applyFont="1" applyFill="1" applyBorder="1" applyAlignment="1">
      <alignment horizontal="center" vertical="center" wrapText="1"/>
    </xf>
    <xf numFmtId="0" fontId="88" fillId="12" borderId="60" xfId="0" applyFont="1" applyFill="1" applyBorder="1" applyAlignment="1">
      <alignment horizontal="center" vertical="center"/>
    </xf>
    <xf numFmtId="0" fontId="88" fillId="7" borderId="61" xfId="0" applyFont="1" applyFill="1" applyBorder="1" applyAlignment="1">
      <alignment vertical="center"/>
    </xf>
    <xf numFmtId="0" fontId="89" fillId="7" borderId="62" xfId="0" applyFont="1" applyFill="1" applyBorder="1" applyAlignment="1">
      <alignment vertical="center"/>
    </xf>
    <xf numFmtId="0" fontId="88" fillId="7" borderId="63" xfId="0" applyFont="1" applyFill="1" applyBorder="1" applyAlignment="1">
      <alignment vertical="center"/>
    </xf>
    <xf numFmtId="0" fontId="88" fillId="7" borderId="63" xfId="0" applyFont="1" applyFill="1" applyBorder="1" applyAlignment="1">
      <alignment horizontal="center" vertical="center"/>
    </xf>
    <xf numFmtId="0" fontId="88" fillId="7" borderId="64" xfId="0" applyFont="1" applyFill="1" applyBorder="1" applyAlignment="1">
      <alignment vertical="center"/>
    </xf>
    <xf numFmtId="0" fontId="89" fillId="7" borderId="24" xfId="0" applyFont="1" applyFill="1" applyBorder="1" applyAlignment="1">
      <alignment vertical="center"/>
    </xf>
    <xf numFmtId="0" fontId="88" fillId="7" borderId="65" xfId="0" applyFont="1" applyFill="1" applyBorder="1" applyAlignment="1">
      <alignment vertical="center"/>
    </xf>
    <xf numFmtId="0" fontId="88" fillId="7" borderId="65" xfId="0" applyFont="1" applyFill="1" applyBorder="1" applyAlignment="1">
      <alignment horizontal="center" vertical="center"/>
    </xf>
    <xf numFmtId="0" fontId="88" fillId="12" borderId="66" xfId="0" applyFont="1" applyFill="1" applyBorder="1" applyAlignment="1">
      <alignment horizontal="center" vertical="center"/>
    </xf>
    <xf numFmtId="0" fontId="88" fillId="12" borderId="69" xfId="0" applyFont="1" applyFill="1" applyBorder="1" applyAlignment="1">
      <alignment horizontal="center" vertical="center"/>
    </xf>
    <xf numFmtId="0" fontId="88" fillId="12" borderId="70" xfId="0" applyFont="1" applyFill="1" applyBorder="1" applyAlignment="1">
      <alignment horizontal="center" vertical="center"/>
    </xf>
    <xf numFmtId="0" fontId="88" fillId="7" borderId="71" xfId="0" applyFont="1" applyFill="1" applyBorder="1" applyAlignment="1">
      <alignment vertical="center" wrapText="1"/>
    </xf>
    <xf numFmtId="0" fontId="89" fillId="7" borderId="1" xfId="0" applyFont="1" applyFill="1" applyBorder="1" applyAlignment="1">
      <alignment vertical="center"/>
    </xf>
    <xf numFmtId="0" fontId="88" fillId="7" borderId="33" xfId="0" applyFont="1" applyFill="1" applyBorder="1" applyAlignment="1">
      <alignment vertical="center"/>
    </xf>
    <xf numFmtId="0" fontId="90" fillId="0" borderId="72" xfId="0" applyFont="1" applyBorder="1" applyAlignment="1">
      <alignment horizontal="center" vertical="center"/>
    </xf>
    <xf numFmtId="0" fontId="88" fillId="7" borderId="71" xfId="0" applyFont="1" applyFill="1" applyBorder="1" applyAlignment="1">
      <alignment vertical="center"/>
    </xf>
    <xf numFmtId="0" fontId="88" fillId="0" borderId="73" xfId="0" applyFont="1" applyBorder="1" applyAlignment="1">
      <alignment horizontal="center" vertical="center"/>
    </xf>
    <xf numFmtId="0" fontId="88" fillId="0" borderId="71" xfId="0" applyFont="1" applyBorder="1" applyAlignment="1">
      <alignment vertical="center"/>
    </xf>
    <xf numFmtId="0" fontId="89" fillId="0" borderId="1" xfId="0" applyFont="1" applyBorder="1" applyAlignment="1">
      <alignment vertical="center"/>
    </xf>
    <xf numFmtId="0" fontId="88" fillId="0" borderId="33" xfId="0" applyFont="1" applyBorder="1" applyAlignment="1">
      <alignment vertical="center"/>
    </xf>
    <xf numFmtId="0" fontId="88" fillId="21" borderId="33" xfId="0" applyFont="1" applyFill="1" applyBorder="1" applyAlignment="1">
      <alignment vertical="center"/>
    </xf>
    <xf numFmtId="0" fontId="88" fillId="12" borderId="74" xfId="0" applyFont="1" applyFill="1" applyBorder="1" applyAlignment="1">
      <alignment horizontal="center" vertical="center"/>
    </xf>
    <xf numFmtId="0" fontId="88" fillId="12" borderId="75" xfId="0" applyFont="1" applyFill="1" applyBorder="1" applyAlignment="1">
      <alignment horizontal="center" vertical="center"/>
    </xf>
    <xf numFmtId="0" fontId="88" fillId="0" borderId="34" xfId="0" applyFont="1" applyBorder="1" applyAlignment="1">
      <alignment vertical="center"/>
    </xf>
    <xf numFmtId="0" fontId="88" fillId="0" borderId="33" xfId="0" applyFont="1" applyBorder="1" applyAlignment="1">
      <alignment horizontal="center" vertical="center"/>
    </xf>
    <xf numFmtId="0" fontId="88" fillId="0" borderId="34" xfId="0" applyFont="1" applyBorder="1" applyAlignment="1">
      <alignment vertical="center" wrapText="1"/>
    </xf>
    <xf numFmtId="0" fontId="91" fillId="22" borderId="0" xfId="0" applyFont="1" applyFill="1" applyAlignment="1">
      <alignment vertical="center"/>
    </xf>
    <xf numFmtId="0" fontId="91" fillId="22" borderId="0" xfId="0" applyFont="1" applyFill="1" applyAlignment="1">
      <alignment horizontal="center" vertical="center"/>
    </xf>
    <xf numFmtId="0" fontId="88" fillId="22" borderId="0" xfId="0" applyFont="1" applyFill="1" applyAlignment="1">
      <alignment vertical="center"/>
    </xf>
    <xf numFmtId="0" fontId="88" fillId="22" borderId="0" xfId="0" applyFont="1" applyFill="1" applyAlignment="1">
      <alignment horizontal="center" vertical="center"/>
    </xf>
    <xf numFmtId="9" fontId="92" fillId="2" borderId="1" xfId="0" applyNumberFormat="1" applyFont="1" applyFill="1" applyBorder="1" applyAlignment="1">
      <alignment horizontal="center" vertical="center" wrapText="1"/>
    </xf>
    <xf numFmtId="0" fontId="12" fillId="2" borderId="4" xfId="0" applyFont="1" applyFill="1" applyBorder="1" applyAlignment="1">
      <alignment horizontal="left" vertical="center"/>
    </xf>
    <xf numFmtId="0" fontId="12" fillId="2" borderId="5" xfId="0" applyFont="1" applyFill="1" applyBorder="1" applyAlignment="1">
      <alignment horizontal="left" vertical="center"/>
    </xf>
    <xf numFmtId="0" fontId="12" fillId="2" borderId="0" xfId="0" applyFont="1" applyFill="1" applyAlignment="1">
      <alignment horizontal="left" vertical="center"/>
    </xf>
    <xf numFmtId="0" fontId="93" fillId="2" borderId="0" xfId="0" applyFont="1" applyFill="1" applyAlignment="1">
      <alignment vertical="center"/>
    </xf>
    <xf numFmtId="0" fontId="69" fillId="2" borderId="12" xfId="0" applyFont="1" applyFill="1" applyBorder="1" applyAlignment="1">
      <alignment horizontal="center" vertical="center" wrapText="1"/>
    </xf>
    <xf numFmtId="0" fontId="69" fillId="2" borderId="35" xfId="0" applyFont="1" applyFill="1" applyBorder="1" applyAlignment="1">
      <alignment horizontal="center" vertical="center" wrapText="1"/>
    </xf>
    <xf numFmtId="0" fontId="69" fillId="2" borderId="11" xfId="0" applyFont="1" applyFill="1" applyBorder="1" applyAlignment="1">
      <alignment horizontal="center" vertical="center" wrapText="1"/>
    </xf>
    <xf numFmtId="0" fontId="14" fillId="2" borderId="4"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5" xfId="0" applyFont="1" applyFill="1" applyBorder="1" applyAlignment="1">
      <alignment horizontal="left" vertical="center" wrapText="1"/>
    </xf>
    <xf numFmtId="0" fontId="12" fillId="2" borderId="4" xfId="0" applyFont="1" applyFill="1" applyBorder="1" applyAlignment="1">
      <alignment horizontal="left"/>
    </xf>
    <xf numFmtId="0" fontId="12" fillId="2" borderId="0" xfId="0" applyFont="1" applyFill="1" applyAlignment="1">
      <alignment horizontal="left"/>
    </xf>
    <xf numFmtId="0" fontId="12" fillId="2" borderId="5" xfId="0" applyFont="1" applyFill="1" applyBorder="1" applyAlignment="1">
      <alignment horizontal="left"/>
    </xf>
    <xf numFmtId="0" fontId="19" fillId="2" borderId="12" xfId="0" applyFont="1" applyFill="1" applyBorder="1" applyAlignment="1">
      <alignment horizontal="center"/>
    </xf>
    <xf numFmtId="0" fontId="6" fillId="16" borderId="0" xfId="0" applyFont="1" applyFill="1" applyAlignment="1">
      <alignment horizontal="center" vertical="center"/>
    </xf>
    <xf numFmtId="0" fontId="52" fillId="7" borderId="0" xfId="0" applyFont="1" applyFill="1" applyAlignment="1">
      <alignment horizontal="center" wrapText="1"/>
    </xf>
    <xf numFmtId="0" fontId="24" fillId="5" borderId="0" xfId="0" applyFont="1" applyFill="1" applyAlignment="1">
      <alignment horizontal="center" vertical="center"/>
    </xf>
    <xf numFmtId="0" fontId="27" fillId="2" borderId="0" xfId="0" applyFont="1" applyFill="1" applyAlignment="1">
      <alignment horizontal="center" vertical="center"/>
    </xf>
    <xf numFmtId="0" fontId="34" fillId="16" borderId="0" xfId="0" applyFont="1" applyFill="1" applyAlignment="1">
      <alignment horizontal="center" vertical="center"/>
    </xf>
    <xf numFmtId="0" fontId="14" fillId="2" borderId="1" xfId="0" applyFont="1" applyFill="1" applyBorder="1" applyAlignment="1">
      <alignment horizontal="center"/>
    </xf>
    <xf numFmtId="43" fontId="29" fillId="2" borderId="0" xfId="6" applyFont="1" applyFill="1" applyAlignment="1" applyProtection="1">
      <alignment horizontal="center" vertical="center"/>
    </xf>
    <xf numFmtId="43" fontId="29" fillId="2" borderId="9" xfId="6" applyFont="1" applyFill="1" applyBorder="1" applyAlignment="1" applyProtection="1">
      <alignment horizontal="center" vertical="center"/>
    </xf>
    <xf numFmtId="43" fontId="14" fillId="2" borderId="10" xfId="6" applyFont="1" applyFill="1" applyBorder="1" applyAlignment="1" applyProtection="1">
      <alignment horizontal="center"/>
    </xf>
    <xf numFmtId="0" fontId="14" fillId="3" borderId="1" xfId="0" applyFont="1" applyFill="1" applyBorder="1" applyAlignment="1" applyProtection="1">
      <alignment horizontal="center" vertical="center"/>
      <protection locked="0"/>
    </xf>
    <xf numFmtId="0" fontId="14" fillId="3" borderId="12" xfId="0" applyFont="1" applyFill="1" applyBorder="1" applyAlignment="1" applyProtection="1">
      <alignment horizontal="center" vertical="center"/>
      <protection locked="0"/>
    </xf>
    <xf numFmtId="0" fontId="14" fillId="3" borderId="11" xfId="0" applyFont="1" applyFill="1" applyBorder="1" applyAlignment="1" applyProtection="1">
      <alignment horizontal="center" vertical="center"/>
      <protection locked="0"/>
    </xf>
    <xf numFmtId="0" fontId="53" fillId="2" borderId="0" xfId="0" applyFont="1" applyFill="1" applyAlignment="1">
      <alignment horizontal="center" vertical="center" wrapText="1"/>
    </xf>
    <xf numFmtId="0" fontId="51" fillId="2" borderId="0" xfId="0" applyFont="1" applyFill="1" applyAlignment="1">
      <alignment horizontal="center" vertical="center" wrapText="1"/>
    </xf>
    <xf numFmtId="0" fontId="28" fillId="2" borderId="0" xfId="0" applyFont="1" applyFill="1" applyAlignment="1">
      <alignment horizontal="center" vertical="center"/>
    </xf>
    <xf numFmtId="0" fontId="14" fillId="2" borderId="12" xfId="0" applyFont="1" applyFill="1" applyBorder="1" applyAlignment="1">
      <alignment horizontal="center"/>
    </xf>
    <xf numFmtId="0" fontId="14" fillId="2" borderId="11" xfId="0" applyFont="1" applyFill="1" applyBorder="1" applyAlignment="1">
      <alignment horizontal="center"/>
    </xf>
    <xf numFmtId="0" fontId="87" fillId="7" borderId="56" xfId="0" applyFont="1" applyFill="1" applyBorder="1" applyAlignment="1">
      <alignment vertical="center"/>
    </xf>
    <xf numFmtId="0" fontId="88" fillId="12" borderId="58" xfId="0" applyFont="1" applyFill="1" applyBorder="1" applyAlignment="1">
      <alignment horizontal="center" vertical="center" wrapText="1"/>
    </xf>
    <xf numFmtId="0" fontId="88" fillId="12" borderId="59" xfId="0" applyFont="1" applyFill="1" applyBorder="1" applyAlignment="1">
      <alignment horizontal="center" vertical="center" wrapText="1"/>
    </xf>
    <xf numFmtId="0" fontId="88" fillId="12" borderId="67" xfId="0" applyFont="1" applyFill="1" applyBorder="1" applyAlignment="1">
      <alignment horizontal="center" vertical="center" wrapText="1"/>
    </xf>
    <xf numFmtId="0" fontId="88" fillId="12" borderId="68" xfId="0" applyFont="1" applyFill="1" applyBorder="1" applyAlignment="1">
      <alignment horizontal="center" vertical="center" wrapText="1"/>
    </xf>
    <xf numFmtId="0" fontId="88" fillId="12" borderId="76" xfId="0" applyFont="1" applyFill="1" applyBorder="1" applyAlignment="1">
      <alignment horizontal="center" vertical="center"/>
    </xf>
    <xf numFmtId="0" fontId="88" fillId="12" borderId="77" xfId="0" applyFont="1" applyFill="1" applyBorder="1" applyAlignment="1">
      <alignment horizontal="center" vertical="center"/>
    </xf>
    <xf numFmtId="0" fontId="88" fillId="12" borderId="78" xfId="0" applyFont="1" applyFill="1" applyBorder="1" applyAlignment="1">
      <alignment horizontal="center" vertical="center"/>
    </xf>
    <xf numFmtId="0" fontId="5" fillId="20" borderId="43" xfId="0" applyFont="1" applyFill="1" applyBorder="1" applyAlignment="1">
      <alignment horizontal="center" vertical="center"/>
    </xf>
    <xf numFmtId="0" fontId="5" fillId="8" borderId="43" xfId="0" applyFont="1" applyFill="1" applyBorder="1" applyAlignment="1">
      <alignment horizontal="center" vertical="center"/>
    </xf>
    <xf numFmtId="0" fontId="5" fillId="8" borderId="44" xfId="0" applyFont="1" applyFill="1" applyBorder="1" applyAlignment="1">
      <alignment horizontal="center" vertical="center"/>
    </xf>
    <xf numFmtId="0" fontId="58" fillId="16" borderId="19" xfId="0" applyFont="1" applyFill="1" applyBorder="1" applyAlignment="1">
      <alignment horizontal="center" vertical="center"/>
    </xf>
    <xf numFmtId="0" fontId="58" fillId="16" borderId="20" xfId="0" applyFont="1" applyFill="1" applyBorder="1" applyAlignment="1">
      <alignment horizontal="center" vertical="center"/>
    </xf>
    <xf numFmtId="0" fontId="58" fillId="16" borderId="19" xfId="0" applyFont="1" applyFill="1" applyBorder="1" applyAlignment="1">
      <alignment horizontal="center" vertical="center" wrapText="1"/>
    </xf>
    <xf numFmtId="0" fontId="58" fillId="16" borderId="20" xfId="0" applyFont="1" applyFill="1" applyBorder="1" applyAlignment="1">
      <alignment horizontal="center" vertical="center" wrapText="1"/>
    </xf>
    <xf numFmtId="0" fontId="58" fillId="16" borderId="12" xfId="0" applyFont="1" applyFill="1" applyBorder="1" applyAlignment="1">
      <alignment horizontal="center" vertical="center"/>
    </xf>
    <xf numFmtId="0" fontId="58" fillId="16" borderId="35" xfId="0" applyFont="1" applyFill="1" applyBorder="1" applyAlignment="1">
      <alignment horizontal="center" vertical="center"/>
    </xf>
    <xf numFmtId="0" fontId="58" fillId="16" borderId="11" xfId="0" applyFont="1" applyFill="1" applyBorder="1" applyAlignment="1">
      <alignment horizontal="center" vertical="center"/>
    </xf>
    <xf numFmtId="0" fontId="69" fillId="2" borderId="12" xfId="0" applyFont="1" applyFill="1" applyBorder="1" applyAlignment="1">
      <alignment horizontal="center" vertical="center" wrapText="1"/>
    </xf>
    <xf numFmtId="0" fontId="69" fillId="2" borderId="35" xfId="0" applyFont="1" applyFill="1" applyBorder="1" applyAlignment="1">
      <alignment horizontal="center" vertical="center" wrapText="1"/>
    </xf>
    <xf numFmtId="0" fontId="69" fillId="2" borderId="11" xfId="0" applyFont="1" applyFill="1" applyBorder="1" applyAlignment="1">
      <alignment horizontal="center" vertical="center" wrapText="1"/>
    </xf>
    <xf numFmtId="0" fontId="61" fillId="2" borderId="12" xfId="0" applyFont="1" applyFill="1" applyBorder="1" applyAlignment="1">
      <alignment horizontal="center" vertical="center"/>
    </xf>
    <xf numFmtId="0" fontId="61" fillId="2" borderId="35" xfId="0" applyFont="1" applyFill="1" applyBorder="1" applyAlignment="1">
      <alignment horizontal="center" vertical="center"/>
    </xf>
    <xf numFmtId="0" fontId="61" fillId="2" borderId="11" xfId="0" applyFont="1" applyFill="1" applyBorder="1" applyAlignment="1">
      <alignment horizontal="center" vertical="center"/>
    </xf>
    <xf numFmtId="0" fontId="69" fillId="2" borderId="2" xfId="0" applyFont="1" applyFill="1" applyBorder="1" applyAlignment="1">
      <alignment horizontal="center" vertical="center" wrapText="1"/>
    </xf>
    <xf numFmtId="0" fontId="69" fillId="2" borderId="10" xfId="0" applyFont="1" applyFill="1" applyBorder="1" applyAlignment="1">
      <alignment horizontal="center" vertical="center" wrapText="1"/>
    </xf>
    <xf numFmtId="0" fontId="69" fillId="2" borderId="3" xfId="0" applyFont="1" applyFill="1" applyBorder="1" applyAlignment="1">
      <alignment horizontal="center" vertical="center" wrapText="1"/>
    </xf>
    <xf numFmtId="0" fontId="75" fillId="2" borderId="12" xfId="0" applyFont="1" applyFill="1" applyBorder="1" applyAlignment="1">
      <alignment horizontal="center" vertical="center" wrapText="1"/>
    </xf>
    <xf numFmtId="0" fontId="75" fillId="2" borderId="35" xfId="0" applyFont="1" applyFill="1" applyBorder="1" applyAlignment="1">
      <alignment horizontal="center" vertical="center" wrapText="1"/>
    </xf>
    <xf numFmtId="0" fontId="75" fillId="2" borderId="11" xfId="0" applyFont="1" applyFill="1" applyBorder="1" applyAlignment="1">
      <alignment horizontal="center" vertical="center" wrapText="1"/>
    </xf>
    <xf numFmtId="0" fontId="10" fillId="9" borderId="0" xfId="0" applyFont="1" applyFill="1" applyAlignment="1">
      <alignment horizontal="center"/>
    </xf>
    <xf numFmtId="0" fontId="0" fillId="2" borderId="1" xfId="0" applyFill="1" applyBorder="1" applyAlignment="1">
      <alignment horizontal="center" vertical="center"/>
    </xf>
    <xf numFmtId="0" fontId="82" fillId="8" borderId="0" xfId="0" applyFont="1" applyFill="1" applyAlignment="1">
      <alignment horizontal="center" vertical="center"/>
    </xf>
    <xf numFmtId="0" fontId="0" fillId="2" borderId="0" xfId="0" applyFill="1" applyAlignment="1">
      <alignment horizontal="center" wrapText="1"/>
    </xf>
    <xf numFmtId="0" fontId="40" fillId="2" borderId="0" xfId="0" applyFont="1" applyFill="1" applyAlignment="1">
      <alignment horizontal="center"/>
    </xf>
    <xf numFmtId="0" fontId="61" fillId="0" borderId="0" xfId="0" applyFont="1" applyBorder="1" applyAlignment="1">
      <alignment horizontal="center" vertical="center" wrapText="1"/>
    </xf>
  </cellXfs>
  <cellStyles count="9">
    <cellStyle name="Comma" xfId="6" builtinId="3"/>
    <cellStyle name="Currency" xfId="8" builtinId="4"/>
    <cellStyle name="Followed Hyperlink" xfId="5" builtinId="9" hidden="1"/>
    <cellStyle name="Followed Hyperlink" xfId="3" builtinId="9" hidden="1"/>
    <cellStyle name="Hyperlink" xfId="4" builtinId="8" hidden="1"/>
    <cellStyle name="Hyperlink" xfId="2" builtinId="8" hidden="1"/>
    <cellStyle name="Hyperlink" xfId="7" builtinId="8"/>
    <cellStyle name="Normal" xfId="0" builtinId="0"/>
    <cellStyle name="Percent" xfId="1" builtinId="5"/>
  </cellStyles>
  <dxfs count="20">
    <dxf>
      <fill>
        <patternFill patternType="solid">
          <fgColor indexed="64"/>
          <bgColor theme="0"/>
        </patternFill>
      </fill>
    </dxf>
    <dxf>
      <numFmt numFmtId="167" formatCode="dd/mm/yyyy;@"/>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dd/mm/yyyy;@"/>
      <fill>
        <patternFill patternType="solid">
          <fgColor indexed="64"/>
          <bgColor theme="0"/>
        </patternFill>
      </fill>
      <alignment horizontal="center" vertical="bottom" textRotation="0" wrapText="0" indent="0" justifyLastLine="0" shrinkToFit="0" readingOrder="0"/>
      <border diagonalUp="0" diagonalDown="0">
        <left style="thin">
          <color auto="1"/>
        </left>
        <right/>
        <top/>
        <bottom/>
        <vertical/>
        <horizontal/>
      </border>
    </dxf>
    <dxf>
      <fill>
        <patternFill patternType="solid">
          <fgColor indexed="64"/>
          <bgColor theme="0"/>
        </patternFill>
      </fill>
      <alignment horizontal="center" vertical="bottom" textRotation="0" wrapText="0" indent="0" justifyLastLine="0" shrinkToFit="0" readingOrder="0"/>
      <border diagonalUp="0" diagonalDown="0">
        <right style="medium">
          <color indexed="64"/>
        </right>
        <vertical/>
      </border>
    </dxf>
    <dxf>
      <numFmt numFmtId="167" formatCode="dd/mm/yyyy;@"/>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border diagonalUp="0" diagonalDown="0">
        <right style="medium">
          <color indexed="64"/>
        </right>
        <vertical/>
      </border>
    </dxf>
    <dxf>
      <fill>
        <patternFill patternType="solid">
          <fgColor indexed="64"/>
          <bgColor theme="0"/>
        </patternFill>
      </fill>
    </dxf>
    <dxf>
      <fill>
        <patternFill patternType="solid">
          <fgColor indexed="64"/>
          <bgColor theme="0"/>
        </patternFill>
      </fill>
    </dxf>
    <dxf>
      <font>
        <strike val="0"/>
        <outline val="0"/>
        <shadow val="0"/>
        <u val="none"/>
        <vertAlign val="baseline"/>
        <sz val="12"/>
        <name val="Calibri"/>
        <family val="2"/>
        <scheme val="minor"/>
      </font>
    </dxf>
    <dxf>
      <fill>
        <patternFill>
          <bgColor rgb="FFFF7C80"/>
        </patternFill>
      </fill>
    </dxf>
    <dxf>
      <fill>
        <patternFill>
          <bgColor theme="8" tint="0.59996337778862885"/>
        </patternFill>
      </fill>
    </dxf>
    <dxf>
      <font>
        <b/>
        <i val="0"/>
        <color rgb="FF00B050"/>
      </font>
      <fill>
        <patternFill patternType="none">
          <bgColor auto="1"/>
        </patternFill>
      </fill>
    </dxf>
    <dxf>
      <font>
        <b/>
        <i val="0"/>
        <color rgb="FFFF0000"/>
      </font>
      <fill>
        <patternFill>
          <bgColor theme="0"/>
        </patternFill>
      </fill>
    </dxf>
    <dxf>
      <font>
        <b/>
        <i val="0"/>
        <color rgb="FF00B050"/>
      </font>
      <fill>
        <patternFill patternType="none">
          <bgColor auto="1"/>
        </patternFill>
      </fill>
    </dxf>
    <dxf>
      <font>
        <b/>
        <i val="0"/>
        <color rgb="FFFF0000"/>
      </font>
      <fill>
        <patternFill>
          <bgColor theme="0"/>
        </patternFill>
      </fill>
    </dxf>
    <dxf>
      <font>
        <b/>
        <i val="0"/>
      </font>
      <fill>
        <patternFill>
          <bgColor theme="9" tint="0.59996337778862885"/>
        </patternFill>
      </fill>
    </dxf>
    <dxf>
      <font>
        <b/>
        <i val="0"/>
      </font>
      <fill>
        <patternFill>
          <bgColor rgb="FFFF4F4F"/>
        </patternFill>
      </fill>
    </dxf>
  </dxfs>
  <tableStyles count="0" defaultTableStyle="TableStyleMedium2" defaultPivotStyle="PivotStyleLight16"/>
  <colors>
    <mruColors>
      <color rgb="FFFF7C80"/>
      <color rgb="FFCC99FF"/>
      <color rgb="FFFF9999"/>
      <color rgb="FFFFDC6D"/>
      <color rgb="FFFFE89F"/>
      <color rgb="FFFF4F4F"/>
      <color rgb="FFFD655D"/>
      <color rgb="FF2F3234"/>
      <color rgb="FFFFB200"/>
      <color rgb="FFF8A2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1084168</xdr:colOff>
      <xdr:row>0</xdr:row>
      <xdr:rowOff>240226</xdr:rowOff>
    </xdr:from>
    <xdr:to>
      <xdr:col>17</xdr:col>
      <xdr:colOff>1820628</xdr:colOff>
      <xdr:row>5</xdr:row>
      <xdr:rowOff>212444</xdr:rowOff>
    </xdr:to>
    <xdr:pic>
      <xdr:nvPicPr>
        <xdr:cNvPr id="6" name="Picture 5">
          <a:extLst>
            <a:ext uri="{FF2B5EF4-FFF2-40B4-BE49-F238E27FC236}">
              <a16:creationId xmlns:a16="http://schemas.microsoft.com/office/drawing/2014/main" id="{B9F53A19-F743-A1C4-ABB1-0BB4766D2776}"/>
            </a:ext>
          </a:extLst>
        </xdr:cNvPr>
        <xdr:cNvPicPr>
          <a:picLocks noChangeAspect="1"/>
        </xdr:cNvPicPr>
      </xdr:nvPicPr>
      <xdr:blipFill>
        <a:blip xmlns:r="http://schemas.openxmlformats.org/officeDocument/2006/relationships" r:embed="rId1"/>
        <a:stretch>
          <a:fillRect/>
        </a:stretch>
      </xdr:blipFill>
      <xdr:spPr>
        <a:xfrm>
          <a:off x="6967256" y="240226"/>
          <a:ext cx="9210909" cy="1302917"/>
        </a:xfrm>
        <a:prstGeom prst="rect">
          <a:avLst/>
        </a:prstGeom>
      </xdr:spPr>
    </xdr:pic>
    <xdr:clientData/>
  </xdr:twoCellAnchor>
  <xdr:twoCellAnchor>
    <xdr:from>
      <xdr:col>2</xdr:col>
      <xdr:colOff>1916907</xdr:colOff>
      <xdr:row>29</xdr:row>
      <xdr:rowOff>71437</xdr:rowOff>
    </xdr:from>
    <xdr:to>
      <xdr:col>3</xdr:col>
      <xdr:colOff>35719</xdr:colOff>
      <xdr:row>29</xdr:row>
      <xdr:rowOff>166687</xdr:rowOff>
    </xdr:to>
    <xdr:sp macro="" textlink="">
      <xdr:nvSpPr>
        <xdr:cNvPr id="2" name="Right Arrow 3">
          <a:extLst>
            <a:ext uri="{FF2B5EF4-FFF2-40B4-BE49-F238E27FC236}">
              <a16:creationId xmlns:a16="http://schemas.microsoft.com/office/drawing/2014/main" id="{C6732602-AA36-46F2-B820-D2CEF5BFCF4D}"/>
            </a:ext>
          </a:extLst>
        </xdr:cNvPr>
        <xdr:cNvSpPr/>
      </xdr:nvSpPr>
      <xdr:spPr>
        <a:xfrm>
          <a:off x="2476501" y="6738937"/>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690563</xdr:colOff>
      <xdr:row>30</xdr:row>
      <xdr:rowOff>59531</xdr:rowOff>
    </xdr:from>
    <xdr:to>
      <xdr:col>2</xdr:col>
      <xdr:colOff>869156</xdr:colOff>
      <xdr:row>30</xdr:row>
      <xdr:rowOff>154781</xdr:rowOff>
    </xdr:to>
    <xdr:sp macro="" textlink="">
      <xdr:nvSpPr>
        <xdr:cNvPr id="3" name="Right Arrow 3">
          <a:extLst>
            <a:ext uri="{FF2B5EF4-FFF2-40B4-BE49-F238E27FC236}">
              <a16:creationId xmlns:a16="http://schemas.microsoft.com/office/drawing/2014/main" id="{8914CDF5-C03C-48F8-A338-ABFA7A77143B}"/>
            </a:ext>
          </a:extLst>
        </xdr:cNvPr>
        <xdr:cNvSpPr/>
      </xdr:nvSpPr>
      <xdr:spPr>
        <a:xfrm>
          <a:off x="1250157" y="6941344"/>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2000250</xdr:colOff>
      <xdr:row>33</xdr:row>
      <xdr:rowOff>47625</xdr:rowOff>
    </xdr:from>
    <xdr:to>
      <xdr:col>9</xdr:col>
      <xdr:colOff>119062</xdr:colOff>
      <xdr:row>33</xdr:row>
      <xdr:rowOff>142875</xdr:rowOff>
    </xdr:to>
    <xdr:sp macro="" textlink="">
      <xdr:nvSpPr>
        <xdr:cNvPr id="10" name="Right Arrow 3">
          <a:extLst>
            <a:ext uri="{FF2B5EF4-FFF2-40B4-BE49-F238E27FC236}">
              <a16:creationId xmlns:a16="http://schemas.microsoft.com/office/drawing/2014/main" id="{D469E0F6-DAAA-4A6B-B66D-F41B24991B6C}"/>
            </a:ext>
          </a:extLst>
        </xdr:cNvPr>
        <xdr:cNvSpPr/>
      </xdr:nvSpPr>
      <xdr:spPr>
        <a:xfrm>
          <a:off x="7881938" y="7834313"/>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845344</xdr:colOff>
      <xdr:row>34</xdr:row>
      <xdr:rowOff>59531</xdr:rowOff>
    </xdr:from>
    <xdr:to>
      <xdr:col>8</xdr:col>
      <xdr:colOff>1023937</xdr:colOff>
      <xdr:row>34</xdr:row>
      <xdr:rowOff>154781</xdr:rowOff>
    </xdr:to>
    <xdr:sp macro="" textlink="">
      <xdr:nvSpPr>
        <xdr:cNvPr id="11" name="Right Arrow 3">
          <a:extLst>
            <a:ext uri="{FF2B5EF4-FFF2-40B4-BE49-F238E27FC236}">
              <a16:creationId xmlns:a16="http://schemas.microsoft.com/office/drawing/2014/main" id="{8FF15CE6-32AB-4865-89F0-1EA792A32E7E}"/>
            </a:ext>
          </a:extLst>
        </xdr:cNvPr>
        <xdr:cNvSpPr/>
      </xdr:nvSpPr>
      <xdr:spPr>
        <a:xfrm>
          <a:off x="6727032" y="8060531"/>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2500313</xdr:colOff>
      <xdr:row>38</xdr:row>
      <xdr:rowOff>59532</xdr:rowOff>
    </xdr:from>
    <xdr:to>
      <xdr:col>24</xdr:col>
      <xdr:colOff>2678906</xdr:colOff>
      <xdr:row>38</xdr:row>
      <xdr:rowOff>154782</xdr:rowOff>
    </xdr:to>
    <xdr:sp macro="" textlink="">
      <xdr:nvSpPr>
        <xdr:cNvPr id="9" name="Right Arrow 3">
          <a:extLst>
            <a:ext uri="{FF2B5EF4-FFF2-40B4-BE49-F238E27FC236}">
              <a16:creationId xmlns:a16="http://schemas.microsoft.com/office/drawing/2014/main" id="{AB084F5E-DB7D-4D06-A040-07213F6AB874}"/>
            </a:ext>
          </a:extLst>
        </xdr:cNvPr>
        <xdr:cNvSpPr/>
      </xdr:nvSpPr>
      <xdr:spPr>
        <a:xfrm>
          <a:off x="20716876" y="8917782"/>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1309688</xdr:colOff>
      <xdr:row>39</xdr:row>
      <xdr:rowOff>35718</xdr:rowOff>
    </xdr:from>
    <xdr:to>
      <xdr:col>24</xdr:col>
      <xdr:colOff>1488281</xdr:colOff>
      <xdr:row>39</xdr:row>
      <xdr:rowOff>130968</xdr:rowOff>
    </xdr:to>
    <xdr:sp macro="" textlink="">
      <xdr:nvSpPr>
        <xdr:cNvPr id="14" name="Right Arrow 3">
          <a:extLst>
            <a:ext uri="{FF2B5EF4-FFF2-40B4-BE49-F238E27FC236}">
              <a16:creationId xmlns:a16="http://schemas.microsoft.com/office/drawing/2014/main" id="{7DDA0DFE-EB93-4E7D-9203-98FAE0F1CEEB}"/>
            </a:ext>
          </a:extLst>
        </xdr:cNvPr>
        <xdr:cNvSpPr/>
      </xdr:nvSpPr>
      <xdr:spPr>
        <a:xfrm>
          <a:off x="19526251" y="9108281"/>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178594</xdr:colOff>
      <xdr:row>0</xdr:row>
      <xdr:rowOff>273844</xdr:rowOff>
    </xdr:from>
    <xdr:to>
      <xdr:col>2</xdr:col>
      <xdr:colOff>1143000</xdr:colOff>
      <xdr:row>5</xdr:row>
      <xdr:rowOff>84769</xdr:rowOff>
    </xdr:to>
    <xdr:pic>
      <xdr:nvPicPr>
        <xdr:cNvPr id="15" name="Picture 14">
          <a:extLst>
            <a:ext uri="{FF2B5EF4-FFF2-40B4-BE49-F238E27FC236}">
              <a16:creationId xmlns:a16="http://schemas.microsoft.com/office/drawing/2014/main" id="{B7408CC9-840C-7227-61F4-3C22934A3625}"/>
            </a:ext>
          </a:extLst>
        </xdr:cNvPr>
        <xdr:cNvPicPr>
          <a:picLocks noChangeAspect="1"/>
        </xdr:cNvPicPr>
      </xdr:nvPicPr>
      <xdr:blipFill>
        <a:blip xmlns:r="http://schemas.openxmlformats.org/officeDocument/2006/relationships" r:embed="rId2"/>
        <a:stretch>
          <a:fillRect/>
        </a:stretch>
      </xdr:blipFill>
      <xdr:spPr>
        <a:xfrm>
          <a:off x="404813" y="273844"/>
          <a:ext cx="1297781" cy="1141250"/>
        </a:xfrm>
        <a:prstGeom prst="rect">
          <a:avLst/>
        </a:prstGeom>
      </xdr:spPr>
    </xdr:pic>
    <xdr:clientData/>
  </xdr:twoCellAnchor>
  <xdr:twoCellAnchor>
    <xdr:from>
      <xdr:col>2</xdr:col>
      <xdr:colOff>952499</xdr:colOff>
      <xdr:row>0</xdr:row>
      <xdr:rowOff>404811</xdr:rowOff>
    </xdr:from>
    <xdr:to>
      <xdr:col>4</xdr:col>
      <xdr:colOff>654842</xdr:colOff>
      <xdr:row>1</xdr:row>
      <xdr:rowOff>130968</xdr:rowOff>
    </xdr:to>
    <xdr:sp macro="" textlink="">
      <xdr:nvSpPr>
        <xdr:cNvPr id="16" name="TextBox 15">
          <a:extLst>
            <a:ext uri="{FF2B5EF4-FFF2-40B4-BE49-F238E27FC236}">
              <a16:creationId xmlns:a16="http://schemas.microsoft.com/office/drawing/2014/main" id="{B66E0A44-9A09-DF95-2D76-9A3EEF63E988}"/>
            </a:ext>
          </a:extLst>
        </xdr:cNvPr>
        <xdr:cNvSpPr txBox="1"/>
      </xdr:nvSpPr>
      <xdr:spPr>
        <a:xfrm>
          <a:off x="1512093" y="404811"/>
          <a:ext cx="2559843" cy="2024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DONT MESS WITH</a:t>
          </a:r>
          <a:r>
            <a:rPr lang="en-GB" sz="1100" baseline="0"/>
            <a:t> MY SPREADSHEET !!!</a:t>
          </a:r>
          <a:endParaRPr lang="en-GB" sz="1100"/>
        </a:p>
      </xdr:txBody>
    </xdr:sp>
    <xdr:clientData/>
  </xdr:twoCellAnchor>
  <xdr:twoCellAnchor>
    <xdr:from>
      <xdr:col>15</xdr:col>
      <xdr:colOff>2000250</xdr:colOff>
      <xdr:row>33</xdr:row>
      <xdr:rowOff>47625</xdr:rowOff>
    </xdr:from>
    <xdr:to>
      <xdr:col>16</xdr:col>
      <xdr:colOff>119062</xdr:colOff>
      <xdr:row>33</xdr:row>
      <xdr:rowOff>142875</xdr:rowOff>
    </xdr:to>
    <xdr:sp macro="" textlink="">
      <xdr:nvSpPr>
        <xdr:cNvPr id="5" name="Right Arrow 3">
          <a:extLst>
            <a:ext uri="{FF2B5EF4-FFF2-40B4-BE49-F238E27FC236}">
              <a16:creationId xmlns:a16="http://schemas.microsoft.com/office/drawing/2014/main" id="{1E1D8F21-DF15-42D3-A2F6-9126D44B62DC}"/>
            </a:ext>
          </a:extLst>
        </xdr:cNvPr>
        <xdr:cNvSpPr/>
      </xdr:nvSpPr>
      <xdr:spPr>
        <a:xfrm>
          <a:off x="9340103" y="7765676"/>
          <a:ext cx="1778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845344</xdr:colOff>
      <xdr:row>34</xdr:row>
      <xdr:rowOff>59531</xdr:rowOff>
    </xdr:from>
    <xdr:to>
      <xdr:col>15</xdr:col>
      <xdr:colOff>1023937</xdr:colOff>
      <xdr:row>34</xdr:row>
      <xdr:rowOff>154781</xdr:rowOff>
    </xdr:to>
    <xdr:sp macro="" textlink="">
      <xdr:nvSpPr>
        <xdr:cNvPr id="12" name="Right Arrow 3">
          <a:extLst>
            <a:ext uri="{FF2B5EF4-FFF2-40B4-BE49-F238E27FC236}">
              <a16:creationId xmlns:a16="http://schemas.microsoft.com/office/drawing/2014/main" id="{C99232EF-12F9-48F2-8B90-260B67E8A9B1}"/>
            </a:ext>
          </a:extLst>
        </xdr:cNvPr>
        <xdr:cNvSpPr/>
      </xdr:nvSpPr>
      <xdr:spPr>
        <a:xfrm>
          <a:off x="8185197" y="7987693"/>
          <a:ext cx="178593" cy="9525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131535</xdr:colOff>
      <xdr:row>0</xdr:row>
      <xdr:rowOff>105229</xdr:rowOff>
    </xdr:from>
    <xdr:to>
      <xdr:col>1</xdr:col>
      <xdr:colOff>2267</xdr:colOff>
      <xdr:row>545</xdr:row>
      <xdr:rowOff>66222</xdr:rowOff>
    </xdr:to>
    <mc:AlternateContent xmlns:mc="http://schemas.openxmlformats.org/markup-compatibility/2006" xmlns:sle15="http://schemas.microsoft.com/office/drawing/2012/slicer">
      <mc:Choice Requires="sle15">
        <xdr:graphicFrame macro="">
          <xdr:nvGraphicFramePr>
            <xdr:cNvPr id="3" name="TRADE">
              <a:extLst>
                <a:ext uri="{FF2B5EF4-FFF2-40B4-BE49-F238E27FC236}">
                  <a16:creationId xmlns:a16="http://schemas.microsoft.com/office/drawing/2014/main" id="{70610C38-085A-6B8B-C84D-9EFB30A2F92B}"/>
                </a:ext>
              </a:extLst>
            </xdr:cNvPr>
            <xdr:cNvGraphicFramePr/>
          </xdr:nvGraphicFramePr>
          <xdr:xfrm>
            <a:off x="0" y="0"/>
            <a:ext cx="0" cy="0"/>
          </xdr:xfrm>
          <a:graphic>
            <a:graphicData uri="http://schemas.microsoft.com/office/drawing/2010/slicer">
              <sle:slicer xmlns:sle="http://schemas.microsoft.com/office/drawing/2010/slicer" name="TRADE"/>
            </a:graphicData>
          </a:graphic>
        </xdr:graphicFrame>
      </mc:Choice>
      <mc:Fallback xmlns="">
        <xdr:sp macro="" textlink="">
          <xdr:nvSpPr>
            <xdr:cNvPr id="0" name=""/>
            <xdr:cNvSpPr>
              <a:spLocks noTextEdit="1"/>
            </xdr:cNvSpPr>
          </xdr:nvSpPr>
          <xdr:spPr>
            <a:xfrm>
              <a:off x="131535" y="105229"/>
              <a:ext cx="2299607" cy="963748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53975</xdr:rowOff>
    </xdr:from>
    <xdr:to>
      <xdr:col>0</xdr:col>
      <xdr:colOff>1073150</xdr:colOff>
      <xdr:row>1</xdr:row>
      <xdr:rowOff>92075</xdr:rowOff>
    </xdr:to>
    <xdr:pic>
      <xdr:nvPicPr>
        <xdr:cNvPr id="2" name="Picture 1">
          <a:extLst>
            <a:ext uri="{FF2B5EF4-FFF2-40B4-BE49-F238E27FC236}">
              <a16:creationId xmlns:a16="http://schemas.microsoft.com/office/drawing/2014/main" id="{689742F3-74EE-478E-AB56-DE70F5BF1401}"/>
            </a:ext>
          </a:extLst>
        </xdr:cNvPr>
        <xdr:cNvPicPr>
          <a:picLocks noChangeAspect="1"/>
        </xdr:cNvPicPr>
      </xdr:nvPicPr>
      <xdr:blipFill>
        <a:blip xmlns:r="http://schemas.openxmlformats.org/officeDocument/2006/relationships" r:embed="rId1"/>
        <a:stretch>
          <a:fillRect/>
        </a:stretch>
      </xdr:blipFill>
      <xdr:spPr>
        <a:xfrm>
          <a:off x="200025" y="53975"/>
          <a:ext cx="873125" cy="876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990600</xdr:colOff>
      <xdr:row>66</xdr:row>
      <xdr:rowOff>133350</xdr:rowOff>
    </xdr:from>
    <xdr:to>
      <xdr:col>3</xdr:col>
      <xdr:colOff>1381125</xdr:colOff>
      <xdr:row>69</xdr:row>
      <xdr:rowOff>76200</xdr:rowOff>
    </xdr:to>
    <xdr:sp macro="" textlink="">
      <xdr:nvSpPr>
        <xdr:cNvPr id="2" name="TextBox 1">
          <a:extLst>
            <a:ext uri="{FF2B5EF4-FFF2-40B4-BE49-F238E27FC236}">
              <a16:creationId xmlns:a16="http://schemas.microsoft.com/office/drawing/2014/main" id="{9DB5113E-2177-F05A-1E08-0188F5F6AC42}"/>
            </a:ext>
          </a:extLst>
        </xdr:cNvPr>
        <xdr:cNvSpPr txBox="1"/>
      </xdr:nvSpPr>
      <xdr:spPr>
        <a:xfrm>
          <a:off x="4105275" y="6896100"/>
          <a:ext cx="1790700" cy="514350"/>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GB" sz="1300" b="1"/>
            <a:t>EXTERNAL DELIVERY COST</a:t>
          </a:r>
        </a:p>
      </xdr:txBody>
    </xdr:sp>
    <xdr:clientData/>
  </xdr:twoCellAnchor>
  <xdr:twoCellAnchor>
    <xdr:from>
      <xdr:col>3</xdr:col>
      <xdr:colOff>1381125</xdr:colOff>
      <xdr:row>68</xdr:row>
      <xdr:rowOff>9525</xdr:rowOff>
    </xdr:from>
    <xdr:to>
      <xdr:col>3</xdr:col>
      <xdr:colOff>1819275</xdr:colOff>
      <xdr:row>68</xdr:row>
      <xdr:rowOff>9525</xdr:rowOff>
    </xdr:to>
    <xdr:cxnSp macro="">
      <xdr:nvCxnSpPr>
        <xdr:cNvPr id="4" name="Straight Arrow Connector 3">
          <a:extLst>
            <a:ext uri="{FF2B5EF4-FFF2-40B4-BE49-F238E27FC236}">
              <a16:creationId xmlns:a16="http://schemas.microsoft.com/office/drawing/2014/main" id="{73186991-6300-65C8-1D81-1CDDA328510E}"/>
            </a:ext>
          </a:extLst>
        </xdr:cNvPr>
        <xdr:cNvCxnSpPr>
          <a:stCxn id="2" idx="3"/>
        </xdr:cNvCxnSpPr>
      </xdr:nvCxnSpPr>
      <xdr:spPr>
        <a:xfrm>
          <a:off x="5895975" y="7153275"/>
          <a:ext cx="438150"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Claudia Swan" id="{CC2F4A08-7CBE-40EF-A912-C46734A882F0}" userId="S::claudia.swan@theoptimalgroup.co.uk::2f12fdd9-ac6b-4a3f-b892-9a44b3c3faff" providerId="AD"/>
  <person displayName="George Lambert" id="{BDE278CF-D973-4DB6-A114-764BFB4871EA}" userId="S::George.Lambert@theoptimalgroup.co.uk::aec5ba3f-baa3-43c1-a56c-bd82cc5b2185" providerId="AD"/>
  <person displayName="George Lambert" id="{051F742B-74A2-42BF-B86C-F95C0A2F331F}" userId="S::george.lambert@theoptimalgroup.co.uk::aec5ba3f-baa3-43c1-a56c-bd82cc5b2185"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 xr10:uid="{0A213258-B876-4EDB-9996-47FC603ED4DD}" sourceName="PRIMARY TRAD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DE" xr10:uid="{462F2CAA-2875-406B-84F2-352038CE1CCD}" cache="Slicer_TRADE" caption="PRIMARY TRA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5FC763-BF21-4AF3-846F-652D17B11751}" name="Table1" displayName="Table1" ref="B2:L493" totalsRowShown="0" headerRowDxfId="11">
  <autoFilter ref="B2:L493" xr:uid="{7F5FC763-BF21-4AF3-846F-652D17B11751}">
    <filterColumn colId="1">
      <filters>
        <filter val="Painting and Decorating"/>
      </filters>
    </filterColumn>
  </autoFilter>
  <sortState xmlns:xlrd2="http://schemas.microsoft.com/office/spreadsheetml/2017/richdata2" ref="B3:L493">
    <sortCondition ref="C2:C493"/>
  </sortState>
  <tableColumns count="11">
    <tableColumn id="1" xr3:uid="{8E1F5F24-B9B8-4181-9564-37A52EA4639C}" name="SUBCONTRACTOR" dataDxfId="10"/>
    <tableColumn id="2" xr3:uid="{762F74CC-132D-4F82-8417-C87F77552AAD}" name="PRIMARY TRADE" dataDxfId="9"/>
    <tableColumn id="13" xr3:uid="{9D7F315F-2A8E-46ED-AAA7-C33723867BE6}" name="SECONDARY TRADES / NOTES" dataDxfId="8"/>
    <tableColumn id="3" xr3:uid="{880298AA-948C-4987-A7A6-C6A5B7BCE43E}" name="MAIN CONTACT" dataDxfId="7"/>
    <tableColumn id="4" xr3:uid="{34B37B38-34F8-4EB7-9460-82B6F4AD0AFC}" name="EMAIL ADDRESS" dataDxfId="6"/>
    <tableColumn id="5" xr3:uid="{A746715A-3B7B-4D72-8B69-5230AA818141}" name="PHONE NUMBER" dataDxfId="5"/>
    <tableColumn id="6" xr3:uid="{47660DBB-A94C-411E-B6A7-B369E5B8A88D}" name="Active" dataDxfId="4"/>
    <tableColumn id="7" xr3:uid="{BF885EB9-3437-4567-86EC-C1F2D26A6C3E}" name="Location Covered" dataDxfId="3"/>
    <tableColumn id="9" xr3:uid="{C3F3F55C-0A42-4DCA-8A51-DBC6B56ED739}" name="Insurance Expiry" dataDxfId="2"/>
    <tableColumn id="10" xr3:uid="{A1A88D89-025F-4A10-88C2-5A91BB604B02}" name="Has Teams Folder" dataDxfId="1"/>
    <tableColumn id="11" xr3:uid="{FD73FCA3-9C1D-4E07-BBD2-01502D6C3A2F}" name="Set up on Ewo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6-02-16T16:50:07.03" personId="{BDE278CF-D973-4DB6-A114-764BFB4871EA}" id="{0DE3E23F-D27C-4D46-878F-C1B3DBBE3522}">
    <text>Does not work Wednesdays</text>
  </threadedComment>
  <threadedComment ref="B40" dT="2026-02-16T16:46:56.18" personId="{BDE278CF-D973-4DB6-A114-764BFB4871EA}" id="{E11DF08D-B97A-42B2-A056-513D5401F029}">
    <text>Now trade as London Premier Floors</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4-06-25T10:20:47.64" personId="{051F742B-74A2-42BF-B86C-F95C0A2F331F}" id="{034CCF19-4093-46DE-BB6C-3612553DA16C}">
    <text>Minimum 10 invoices in 2024</text>
  </threadedComment>
  <threadedComment ref="F9" dT="2026-01-28T17:14:49.37" personId="{051F742B-74A2-42BF-B86C-F95C0A2F331F}" id="{784605C0-7AA7-47DF-BD07-9C57A57E2364}">
    <text>Commission to increase to 15% from  12% on 2nd of Feb.</text>
  </threadedComment>
  <threadedComment ref="C20" dT="2024-05-14T17:08:42.47" personId="{051F742B-74A2-42BF-B86C-F95C0A2F331F}" id="{F32F65A0-943A-43B2-83B1-08140D4FDF96}">
    <text>50% Deposits for works over £3k</text>
  </threadedComment>
  <threadedComment ref="F31" dT="2025-04-09T07:28:36.21" personId="{051F742B-74A2-42BF-B86C-F95C0A2F331F}" id="{D002DD9F-56D3-4919-BFB4-D3B6FF044B8A}">
    <text>Sliding scale for large jobs Referral fee charged (VAT incl.
Works over £5,000 - £600 
Works over £10,000 - £900 
Works over £25,000 - £1,200 
Works over £50,000 - £1,800 
Works over £75,000 - £2,400 
Works over £100,000 - £2,800</text>
  </threadedComment>
  <threadedComment ref="F40" dT="2025-05-21T10:27:31.28" personId="{051F742B-74A2-42BF-B86C-F95C0A2F331F}" id="{B1EDD53D-B274-419E-BFAB-9DA115A945B2}">
    <text>To increase to 14.4% on the 3rd of July.</text>
  </threadedComment>
  <threadedComment ref="I42" dT="2024-11-15T09:21:10.10" personId="{051F742B-74A2-42BF-B86C-F95C0A2F331F}" id="{3A018EFA-0586-4541-B07D-C14EBEB0471E}">
    <text>For invoices &lt;£1000, they tend to have money on the account so payment turnaround can be with 24 hrs. 
For larger invoices, they are typically collected from their monthly rent.</text>
  </threadedComment>
  <threadedComment ref="N43" dT="2025-07-03T12:44:51.73" personId="{051F742B-74A2-42BF-B86C-F95C0A2F331F}" id="{BD86AEB2-90E2-46B5-A9CC-71ACDBD1B28F}">
    <text>Either a Thursday or Friday.</text>
  </threadedComment>
  <threadedComment ref="E56" dT="2025-10-01T16:07:07.93" personId="{051F742B-74A2-42BF-B86C-F95C0A2F331F}" id="{1CA249B1-CF30-4DFF-B743-EB26A6089527}">
    <text>Call on site if greater.</text>
  </threadedComment>
  <threadedComment ref="E58" dT="2024-05-14T11:07:33.42" personId="{051F742B-74A2-42BF-B86C-F95C0A2F331F}" id="{9EC9F6DC-8E1F-4AA0-92CE-11C109557192}">
    <text>This is including VAT</text>
  </threadedComment>
  <threadedComment ref="F71" dT="2024-05-21T09:50:23.19" personId="{051F742B-74A2-42BF-B86C-F95C0A2F331F}" id="{AC666865-11A5-4464-9025-B7FC4D4DC22C}">
    <text>As of the 1st of June commission will be 15%</text>
  </threadedComment>
  <threadedComment ref="F71" dT="2024-05-31T11:00:48.78" personId="{CC2F4A08-7CBE-40EF-A912-C46734A882F0}" id="{28C5E405-E1C7-4CC9-8A7D-4F3FC628DC5D}" parentId="{AC666865-11A5-4464-9025-B7FC4D4DC22C}">
    <text>Anything from before 1 June = 20% commission on labour</text>
  </threadedComment>
  <threadedComment ref="E75" dT="2024-07-18T10:38:56.73" personId="{051F742B-74A2-42BF-B86C-F95C0A2F331F}" id="{2D008381-9E3F-4EA1-8BA1-8117CA8DE1BC}">
    <text>Previously had requested if quotes could betaken free of charge. Unclear if we got back to them on this. Looking into this</text>
  </threadedComment>
  <threadedComment ref="F80" dT="2025-07-03T12:59:14.57" personId="{051F742B-74A2-42BF-B86C-F95C0A2F331F}" id="{DB3E714C-3C05-478B-9E94-5EC1E3D3BBE7}">
    <text>Commission increased from 12% --&gt; 15% from 02/05/24</text>
  </threadedComment>
  <threadedComment ref="F87" dT="2024-06-07T08:31:41.39" personId="{051F742B-74A2-42BF-B86C-F95C0A2F331F}" id="{A8A6102A-23D6-45D6-A4F1-A78AF939580C}">
    <text>**Penalty per hour**
Emergency - 5% of total invoice 
Urgent - 2% of total invoice
Routine - 1% of total invoice
**Response time**
Emergency Repair – 24 hours response to remedy or make safe any potential defects 
Urgent Repair – maximum of 5 days period to remedy defects 
Routine Repairs – maximum of 20 days period to remedy defects </text>
  </threadedComment>
  <threadedComment ref="F92" dT="2025-06-05T12:51:38.43" personId="{051F742B-74A2-42BF-B86C-F95C0A2F331F}" id="{03320C7E-516B-433E-8F67-6E501FB87202}">
    <text>To decrease to 14.4% on the 9th of June from 15%.</text>
  </threadedComment>
  <threadedComment ref="C132" dT="2024-08-19T16:05:12.44" personId="{051F742B-74A2-42BF-B86C-F95C0A2F331F}" id="{D9894148-FE2C-4785-BEC6-1CA87BFC7DE2}">
    <text>Touchstone only accept deposits for high end jobs (Approx. £10k+). This would need to be agreed with PM first.</text>
  </threadedComment>
  <threadedComment ref="N132" dT="2025-07-03T12:29:46.33" personId="{051F742B-74A2-42BF-B86C-F95C0A2F331F}" id="{A3EE76D0-D7DD-41ED-AA80-36AE330238CF}">
    <text>they do runs on other days, can depend on their client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2.xml"/><Relationship Id="rId1" Type="http://schemas.openxmlformats.org/officeDocument/2006/relationships/hyperlink" Target="mailto:hbscaffoldingservicesltd@outlook.com" TargetMode="External"/><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mailto:admin@directresidential.co.uk"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59999389629810485"/>
    <pageSetUpPr fitToPage="1"/>
  </sheetPr>
  <dimension ref="A1:DZ132"/>
  <sheetViews>
    <sheetView topLeftCell="A15" zoomScale="85" zoomScaleNormal="85" workbookViewId="0">
      <selection activeCell="E20" sqref="E20"/>
    </sheetView>
  </sheetViews>
  <sheetFormatPr defaultColWidth="10.85546875" defaultRowHeight="14.45" customHeight="1"/>
  <cols>
    <col min="1" max="1" width="3.42578125" style="88" customWidth="1"/>
    <col min="2" max="2" width="5" style="73" customWidth="1"/>
    <col min="3" max="3" width="30.85546875" style="73" customWidth="1"/>
    <col min="4" max="4" width="12" style="115" customWidth="1"/>
    <col min="5" max="5" width="27.7109375" style="73" customWidth="1"/>
    <col min="6" max="6" width="21.85546875" style="73" hidden="1" customWidth="1"/>
    <col min="7" max="7" width="4.5703125" style="73" customWidth="1"/>
    <col min="8" max="8" width="4.5703125" style="110" customWidth="1"/>
    <col min="9" max="9" width="30.85546875" style="73" customWidth="1"/>
    <col min="10" max="10" width="14.28515625" style="115" customWidth="1"/>
    <col min="11" max="11" width="27.7109375" style="73" customWidth="1"/>
    <col min="12" max="12" width="27.7109375" style="73" hidden="1" customWidth="1"/>
    <col min="13" max="13" width="21.85546875" style="73" hidden="1" customWidth="1"/>
    <col min="14" max="14" width="4.42578125" style="73" customWidth="1"/>
    <col min="15" max="15" width="4.5703125" style="110" customWidth="1"/>
    <col min="16" max="16" width="30.85546875" style="73" customWidth="1"/>
    <col min="17" max="17" width="14.28515625" style="115" customWidth="1"/>
    <col min="18" max="18" width="27.7109375" style="73" customWidth="1"/>
    <col min="19" max="19" width="27.7109375" style="73" hidden="1" customWidth="1"/>
    <col min="20" max="20" width="21.85546875" style="73" hidden="1" customWidth="1"/>
    <col min="21" max="21" width="5" style="73" customWidth="1"/>
    <col min="22" max="22" width="2.42578125" style="158" customWidth="1"/>
    <col min="23" max="23" width="2.42578125" style="73" customWidth="1"/>
    <col min="24" max="24" width="5" style="158" customWidth="1"/>
    <col min="25" max="25" width="40.42578125" style="73" customWidth="1"/>
    <col min="26" max="26" width="12.85546875" style="73" customWidth="1"/>
    <col min="27" max="27" width="22.5703125" style="73" customWidth="1"/>
    <col min="28" max="28" width="27.5703125" style="73" hidden="1" customWidth="1"/>
    <col min="29" max="29" width="33.28515625" style="73" hidden="1" customWidth="1"/>
    <col min="30" max="30" width="5" style="88" customWidth="1"/>
    <col min="31" max="31" width="2" style="73" customWidth="1"/>
    <col min="32" max="39" width="14.140625" style="73" customWidth="1"/>
    <col min="40" max="40" width="21.140625" style="73" customWidth="1"/>
    <col min="41" max="44" width="19" style="73" customWidth="1"/>
    <col min="45" max="45" width="27.140625" style="73" bestFit="1" customWidth="1"/>
    <col min="46" max="48" width="19" style="73" customWidth="1"/>
    <col min="49" max="49" width="32.7109375" style="73" bestFit="1" customWidth="1"/>
    <col min="50" max="50" width="19" style="73" customWidth="1"/>
    <col min="51" max="51" width="32.85546875" style="73" customWidth="1"/>
    <col min="52" max="53" width="10.85546875" style="10" customWidth="1"/>
    <col min="54" max="54" width="18.85546875" style="73" bestFit="1" customWidth="1"/>
    <col min="55" max="16384" width="10.85546875" style="73"/>
  </cols>
  <sheetData>
    <row r="1" spans="1:57" s="71" customFormat="1" ht="37.5" customHeight="1">
      <c r="D1" s="72"/>
      <c r="E1" s="73"/>
      <c r="F1" s="73"/>
      <c r="G1" s="73"/>
      <c r="J1" s="72"/>
      <c r="K1" s="73"/>
      <c r="L1" s="73"/>
      <c r="M1" s="73"/>
      <c r="N1" s="73"/>
      <c r="O1" s="73"/>
      <c r="Q1" s="72"/>
      <c r="R1" s="73"/>
      <c r="S1" s="73"/>
      <c r="T1" s="73"/>
      <c r="U1" s="73"/>
      <c r="AB1" s="73"/>
      <c r="AC1" s="73"/>
      <c r="AN1" s="420" t="s">
        <v>0</v>
      </c>
      <c r="AO1" s="420"/>
      <c r="AP1" s="420" t="s">
        <v>1</v>
      </c>
      <c r="AQ1" s="420"/>
      <c r="AR1" s="420"/>
      <c r="AS1" s="420" t="s">
        <v>2</v>
      </c>
      <c r="AT1" s="420"/>
      <c r="AU1" s="420" t="s">
        <v>3</v>
      </c>
      <c r="AV1" s="420"/>
      <c r="AW1" s="420" t="s">
        <v>4</v>
      </c>
      <c r="AX1" s="420"/>
      <c r="AY1" s="74" t="s">
        <v>5</v>
      </c>
      <c r="AZ1" s="11"/>
      <c r="BA1" s="11" t="s">
        <v>6</v>
      </c>
      <c r="BB1" s="75" t="s">
        <v>7</v>
      </c>
      <c r="BE1" s="71" t="s">
        <v>8</v>
      </c>
    </row>
    <row r="2" spans="1:57" s="71" customFormat="1" ht="16.5">
      <c r="D2" s="72"/>
      <c r="E2" s="73"/>
      <c r="F2" s="73"/>
      <c r="G2" s="73"/>
      <c r="J2" s="72"/>
      <c r="K2" s="73"/>
      <c r="L2" s="73"/>
      <c r="M2" s="73"/>
      <c r="N2" s="73"/>
      <c r="O2" s="73"/>
      <c r="Q2" s="72"/>
      <c r="R2" s="73"/>
      <c r="S2" s="73"/>
      <c r="T2" s="73"/>
      <c r="U2" s="73"/>
      <c r="AB2" s="73"/>
      <c r="AC2" s="73"/>
      <c r="AN2" s="75" t="s">
        <v>7</v>
      </c>
      <c r="AP2" s="71" t="s">
        <v>9</v>
      </c>
      <c r="AQ2" s="71" t="s">
        <v>10</v>
      </c>
      <c r="AR2" s="71" t="s">
        <v>11</v>
      </c>
      <c r="AS2" s="75" t="s">
        <v>7</v>
      </c>
      <c r="AU2" s="71" t="s">
        <v>12</v>
      </c>
      <c r="AV2" s="11">
        <v>0.3</v>
      </c>
      <c r="AW2" s="76" t="s">
        <v>13</v>
      </c>
      <c r="AX2" s="76">
        <v>240</v>
      </c>
      <c r="AY2" s="71" t="s">
        <v>14</v>
      </c>
      <c r="AZ2" s="11">
        <v>0</v>
      </c>
      <c r="BA2" s="11"/>
      <c r="BB2" s="77" t="s">
        <v>15</v>
      </c>
      <c r="BC2" s="78">
        <v>40</v>
      </c>
      <c r="BD2" s="71">
        <f>AR3</f>
        <v>239.39999999999998</v>
      </c>
      <c r="BE2" s="71" t="s">
        <v>16</v>
      </c>
    </row>
    <row r="3" spans="1:57" s="71" customFormat="1" ht="16.5">
      <c r="D3" s="72"/>
      <c r="E3" s="73"/>
      <c r="F3" s="73"/>
      <c r="G3" s="73"/>
      <c r="J3" s="72"/>
      <c r="K3" s="73"/>
      <c r="L3" s="73"/>
      <c r="M3" s="73"/>
      <c r="N3" s="73"/>
      <c r="O3" s="73"/>
      <c r="Q3" s="72"/>
      <c r="R3" s="73"/>
      <c r="S3" s="73"/>
      <c r="T3" s="73"/>
      <c r="U3" s="73"/>
      <c r="AB3" s="73"/>
      <c r="AC3" s="73"/>
      <c r="AN3" s="77" t="s">
        <v>15</v>
      </c>
      <c r="AO3" s="77">
        <v>95</v>
      </c>
      <c r="AP3" s="77" t="s">
        <v>15</v>
      </c>
      <c r="AQ3" s="78">
        <f>AO3*42%</f>
        <v>39.9</v>
      </c>
      <c r="AR3" s="98">
        <f>AQ3*6</f>
        <v>239.39999999999998</v>
      </c>
      <c r="AS3" s="77" t="s">
        <v>15</v>
      </c>
      <c r="AT3" s="77">
        <f>$AX$2/8</f>
        <v>30</v>
      </c>
      <c r="AU3" s="77" t="s">
        <v>17</v>
      </c>
      <c r="AV3" s="79">
        <v>0.2</v>
      </c>
      <c r="AW3" s="76" t="s">
        <v>18</v>
      </c>
      <c r="AX3" s="76">
        <f>AX2/8</f>
        <v>30</v>
      </c>
      <c r="AY3" s="71" t="s">
        <v>19</v>
      </c>
      <c r="AZ3" s="11">
        <v>0.18</v>
      </c>
      <c r="BA3" s="11"/>
      <c r="BB3" s="77" t="s">
        <v>20</v>
      </c>
      <c r="BC3" s="78">
        <v>40</v>
      </c>
      <c r="BD3" s="71">
        <f>AR4</f>
        <v>239.39999999999998</v>
      </c>
    </row>
    <row r="4" spans="1:57" s="71" customFormat="1" ht="16.5">
      <c r="D4" s="72"/>
      <c r="E4" s="73"/>
      <c r="F4" s="73"/>
      <c r="G4" s="73"/>
      <c r="J4" s="72"/>
      <c r="K4" s="73"/>
      <c r="L4" s="73"/>
      <c r="M4" s="73"/>
      <c r="N4" s="73"/>
      <c r="O4" s="73"/>
      <c r="Q4" s="72"/>
      <c r="R4" s="73"/>
      <c r="S4" s="73"/>
      <c r="T4" s="73"/>
      <c r="U4" s="73"/>
      <c r="AB4" s="73"/>
      <c r="AC4" s="73"/>
      <c r="AN4" s="77" t="s">
        <v>20</v>
      </c>
      <c r="AO4" s="71">
        <v>95</v>
      </c>
      <c r="AP4" s="77" t="s">
        <v>20</v>
      </c>
      <c r="AQ4" s="78">
        <f t="shared" ref="AQ4:AQ15" si="0">AO4*42%</f>
        <v>39.9</v>
      </c>
      <c r="AR4" s="98">
        <f t="shared" ref="AR4:AR18" si="1">AQ4*6</f>
        <v>239.39999999999998</v>
      </c>
      <c r="AS4" s="77" t="s">
        <v>20</v>
      </c>
      <c r="AT4" s="77">
        <f>$AX$2/8</f>
        <v>30</v>
      </c>
      <c r="AU4" s="71" t="s">
        <v>21</v>
      </c>
      <c r="AV4" s="80">
        <v>0.15</v>
      </c>
      <c r="AW4" s="71" t="s">
        <v>22</v>
      </c>
      <c r="AX4" s="71">
        <v>340</v>
      </c>
      <c r="AY4" s="71" t="s">
        <v>23</v>
      </c>
      <c r="AZ4" s="11">
        <v>0.15</v>
      </c>
      <c r="BA4" s="11"/>
      <c r="BB4" s="77" t="s">
        <v>24</v>
      </c>
      <c r="BC4" s="81">
        <v>80</v>
      </c>
      <c r="BD4" s="71">
        <f>AR5</f>
        <v>378</v>
      </c>
    </row>
    <row r="5" spans="1:57" s="71" customFormat="1" ht="17.25" customHeight="1">
      <c r="D5" s="72"/>
      <c r="E5" s="73"/>
      <c r="F5" s="73"/>
      <c r="G5" s="73"/>
      <c r="J5" s="72"/>
      <c r="K5" s="73"/>
      <c r="L5" s="73"/>
      <c r="M5" s="73"/>
      <c r="N5" s="73"/>
      <c r="O5" s="73"/>
      <c r="Q5" s="72"/>
      <c r="R5" s="73"/>
      <c r="S5" s="73"/>
      <c r="T5" s="73"/>
      <c r="U5" s="73"/>
      <c r="AB5" s="73"/>
      <c r="AC5" s="73"/>
      <c r="AN5" s="77" t="s">
        <v>24</v>
      </c>
      <c r="AO5" s="77">
        <v>150</v>
      </c>
      <c r="AP5" s="77" t="s">
        <v>24</v>
      </c>
      <c r="AQ5" s="78">
        <f t="shared" si="0"/>
        <v>63</v>
      </c>
      <c r="AR5" s="98">
        <f t="shared" si="1"/>
        <v>378</v>
      </c>
      <c r="AS5" s="77" t="s">
        <v>24</v>
      </c>
      <c r="AT5" s="81">
        <f>AQ5</f>
        <v>63</v>
      </c>
      <c r="AU5" s="71" t="s">
        <v>25</v>
      </c>
      <c r="AV5" s="11">
        <v>0.3</v>
      </c>
      <c r="AW5" s="71" t="s">
        <v>26</v>
      </c>
      <c r="AX5" s="71">
        <v>150</v>
      </c>
      <c r="AY5" s="71" t="s">
        <v>27</v>
      </c>
      <c r="AZ5" s="11">
        <v>0.2</v>
      </c>
      <c r="BA5" s="11"/>
      <c r="BB5" s="77" t="s">
        <v>28</v>
      </c>
      <c r="BC5" s="82">
        <v>50</v>
      </c>
      <c r="BD5" s="71">
        <f>AR6</f>
        <v>277.2</v>
      </c>
    </row>
    <row r="6" spans="1:57" s="71" customFormat="1" ht="17.25" customHeight="1">
      <c r="D6" s="72"/>
      <c r="E6" s="73"/>
      <c r="F6" s="73"/>
      <c r="G6" s="73"/>
      <c r="J6" s="72"/>
      <c r="K6" s="73"/>
      <c r="L6" s="73"/>
      <c r="M6" s="73"/>
      <c r="N6" s="73"/>
      <c r="O6" s="73"/>
      <c r="Q6" s="72"/>
      <c r="R6" s="73"/>
      <c r="S6" s="73"/>
      <c r="T6" s="73"/>
      <c r="U6" s="73"/>
      <c r="AB6" s="73"/>
      <c r="AC6" s="73"/>
      <c r="AN6" s="77" t="s">
        <v>28</v>
      </c>
      <c r="AO6" s="77">
        <v>110</v>
      </c>
      <c r="AP6" s="77" t="s">
        <v>28</v>
      </c>
      <c r="AQ6" s="78">
        <f t="shared" si="0"/>
        <v>46.199999999999996</v>
      </c>
      <c r="AR6" s="98">
        <f t="shared" si="1"/>
        <v>277.2</v>
      </c>
      <c r="AS6" s="77" t="s">
        <v>28</v>
      </c>
      <c r="AT6" s="81">
        <f>AQ6</f>
        <v>46.199999999999996</v>
      </c>
      <c r="AU6" s="77" t="s">
        <v>29</v>
      </c>
      <c r="AV6" s="79">
        <v>0.2</v>
      </c>
      <c r="AW6" s="71" t="s">
        <v>30</v>
      </c>
      <c r="AX6" s="71">
        <f>AX5/8</f>
        <v>18.75</v>
      </c>
      <c r="AY6" s="71" t="s">
        <v>31</v>
      </c>
      <c r="AZ6" s="11">
        <v>0.15</v>
      </c>
      <c r="BA6" s="11"/>
      <c r="BB6" s="77" t="s">
        <v>32</v>
      </c>
      <c r="BC6" s="83">
        <v>35</v>
      </c>
      <c r="BD6" s="71">
        <f>AR7</f>
        <v>239.39999999999998</v>
      </c>
    </row>
    <row r="7" spans="1:57" s="71" customFormat="1" ht="17.25" customHeight="1" thickBot="1">
      <c r="B7" s="84"/>
      <c r="C7" s="84"/>
      <c r="D7" s="85"/>
      <c r="E7" s="86"/>
      <c r="F7" s="86"/>
      <c r="G7" s="86"/>
      <c r="H7" s="84"/>
      <c r="I7" s="84"/>
      <c r="J7" s="85"/>
      <c r="K7" s="86"/>
      <c r="L7" s="86"/>
      <c r="M7" s="86"/>
      <c r="N7" s="86"/>
      <c r="O7" s="86"/>
      <c r="P7" s="84"/>
      <c r="Q7" s="85"/>
      <c r="R7" s="86"/>
      <c r="S7" s="86"/>
      <c r="T7" s="86"/>
      <c r="U7" s="86"/>
      <c r="AB7" s="73"/>
      <c r="AC7" s="73"/>
      <c r="AN7" s="77" t="s">
        <v>32</v>
      </c>
      <c r="AO7" s="77">
        <v>95</v>
      </c>
      <c r="AP7" s="77" t="s">
        <v>32</v>
      </c>
      <c r="AQ7" s="78">
        <f t="shared" si="0"/>
        <v>39.9</v>
      </c>
      <c r="AR7" s="98">
        <f t="shared" si="1"/>
        <v>239.39999999999998</v>
      </c>
      <c r="AS7" s="77" t="s">
        <v>32</v>
      </c>
      <c r="AT7" s="77">
        <f>$AX$2/8</f>
        <v>30</v>
      </c>
      <c r="AU7" s="77" t="s">
        <v>33</v>
      </c>
      <c r="AV7" s="79">
        <v>0.15</v>
      </c>
      <c r="AW7" s="71" t="s">
        <v>34</v>
      </c>
      <c r="AX7" s="71">
        <v>120</v>
      </c>
      <c r="AY7" s="71" t="s">
        <v>35</v>
      </c>
      <c r="AZ7" s="11">
        <v>0.1</v>
      </c>
      <c r="BA7" s="11"/>
      <c r="BB7" s="71" t="s">
        <v>36</v>
      </c>
      <c r="BC7" s="71">
        <v>100</v>
      </c>
      <c r="BD7" s="71">
        <v>500</v>
      </c>
    </row>
    <row r="8" spans="1:57" s="71" customFormat="1" ht="17.25" customHeight="1" thickTop="1">
      <c r="A8" s="87"/>
      <c r="D8" s="72"/>
      <c r="E8" s="73"/>
      <c r="F8" s="73"/>
      <c r="G8" s="73"/>
      <c r="J8" s="72"/>
      <c r="K8" s="73"/>
      <c r="L8" s="73"/>
      <c r="M8" s="73"/>
      <c r="N8" s="73"/>
      <c r="O8" s="73"/>
      <c r="Q8" s="72"/>
      <c r="R8" s="73"/>
      <c r="S8" s="73"/>
      <c r="T8" s="73"/>
      <c r="U8" s="88"/>
      <c r="X8" s="89"/>
      <c r="Y8" s="90"/>
      <c r="Z8" s="90"/>
      <c r="AA8" s="90"/>
      <c r="AB8" s="91"/>
      <c r="AC8" s="91"/>
      <c r="AD8" s="92"/>
      <c r="AN8" s="71" t="s">
        <v>37</v>
      </c>
      <c r="AO8" s="71">
        <v>150</v>
      </c>
      <c r="AP8" s="77" t="s">
        <v>37</v>
      </c>
      <c r="AQ8" s="78">
        <f t="shared" si="0"/>
        <v>63</v>
      </c>
      <c r="AR8" s="98">
        <f t="shared" si="1"/>
        <v>378</v>
      </c>
      <c r="AS8" s="77" t="s">
        <v>37</v>
      </c>
      <c r="AT8" s="77">
        <f>$AX$2/8</f>
        <v>30</v>
      </c>
      <c r="AU8" s="77"/>
      <c r="AV8" s="77"/>
      <c r="AW8" s="71" t="s">
        <v>38</v>
      </c>
      <c r="AX8" s="71">
        <f>AX7/8</f>
        <v>15</v>
      </c>
      <c r="AY8" s="71" t="s">
        <v>39</v>
      </c>
      <c r="AZ8" s="11">
        <v>0.15</v>
      </c>
      <c r="BA8" s="11"/>
      <c r="BB8" s="77" t="s">
        <v>40</v>
      </c>
      <c r="BC8" s="83">
        <v>35</v>
      </c>
      <c r="BD8" s="71">
        <f t="shared" ref="BD8:BD15" si="2">AR9</f>
        <v>239.39999999999998</v>
      </c>
    </row>
    <row r="9" spans="1:57" s="96" customFormat="1" ht="42.75" customHeight="1">
      <c r="A9" s="93"/>
      <c r="B9" s="71"/>
      <c r="C9" s="425" t="s">
        <v>41</v>
      </c>
      <c r="D9" s="425"/>
      <c r="E9" s="425"/>
      <c r="F9" s="425"/>
      <c r="G9" s="425"/>
      <c r="H9" s="425"/>
      <c r="I9" s="425"/>
      <c r="J9" s="425"/>
      <c r="K9" s="425"/>
      <c r="L9" s="425"/>
      <c r="M9" s="425"/>
      <c r="N9" s="425"/>
      <c r="O9" s="425"/>
      <c r="P9" s="425"/>
      <c r="Q9" s="425"/>
      <c r="R9" s="425"/>
      <c r="S9" s="94"/>
      <c r="T9" s="94"/>
      <c r="U9" s="73"/>
      <c r="V9" s="95"/>
      <c r="W9" s="71"/>
      <c r="X9" s="95"/>
      <c r="Y9" s="423" t="s">
        <v>42</v>
      </c>
      <c r="Z9" s="423"/>
      <c r="AA9" s="423"/>
      <c r="AB9" s="423"/>
      <c r="AC9" s="423"/>
      <c r="AD9" s="93"/>
      <c r="AF9" s="71"/>
      <c r="AG9" s="71"/>
      <c r="AH9" s="71"/>
      <c r="AI9" s="71"/>
      <c r="AJ9" s="71"/>
      <c r="AK9" s="71"/>
      <c r="AL9" s="71"/>
      <c r="AM9" s="71"/>
      <c r="AN9" s="77" t="s">
        <v>40</v>
      </c>
      <c r="AO9" s="77">
        <v>95</v>
      </c>
      <c r="AP9" s="77" t="s">
        <v>40</v>
      </c>
      <c r="AQ9" s="78">
        <f>AO9*42%</f>
        <v>39.9</v>
      </c>
      <c r="AR9" s="98">
        <f t="shared" si="1"/>
        <v>239.39999999999998</v>
      </c>
      <c r="AS9" s="77" t="s">
        <v>40</v>
      </c>
      <c r="AT9" s="77">
        <f>$AX$2/8</f>
        <v>30</v>
      </c>
      <c r="AU9" s="98"/>
      <c r="AV9" s="98"/>
      <c r="AW9" s="71"/>
      <c r="AX9" s="11"/>
      <c r="AY9" s="71" t="s">
        <v>43</v>
      </c>
      <c r="AZ9" s="11">
        <v>0.2</v>
      </c>
      <c r="BA9" s="11"/>
      <c r="BB9" s="77" t="s">
        <v>44</v>
      </c>
      <c r="BC9" s="97">
        <v>60</v>
      </c>
      <c r="BD9" s="71">
        <f t="shared" si="2"/>
        <v>302.39999999999998</v>
      </c>
    </row>
    <row r="10" spans="1:57" s="96" customFormat="1" ht="18.75" customHeight="1">
      <c r="A10" s="93"/>
      <c r="B10" s="99"/>
      <c r="C10" s="99"/>
      <c r="D10" s="99"/>
      <c r="E10" s="94"/>
      <c r="F10" s="94"/>
      <c r="G10" s="94"/>
      <c r="H10" s="99"/>
      <c r="I10" s="99"/>
      <c r="J10" s="99"/>
      <c r="K10" s="94"/>
      <c r="L10" s="94"/>
      <c r="M10" s="94"/>
      <c r="N10" s="94"/>
      <c r="O10" s="94"/>
      <c r="P10" s="99"/>
      <c r="Q10" s="99"/>
      <c r="R10" s="94"/>
      <c r="S10" s="94"/>
      <c r="T10" s="94"/>
      <c r="U10" s="73"/>
      <c r="V10" s="95"/>
      <c r="W10" s="99"/>
      <c r="X10" s="100"/>
      <c r="Y10" s="426" t="s">
        <v>45</v>
      </c>
      <c r="Z10" s="426"/>
      <c r="AA10" s="426"/>
      <c r="AB10" s="73"/>
      <c r="AC10" s="73"/>
      <c r="AD10" s="93"/>
      <c r="AN10" s="77" t="s">
        <v>44</v>
      </c>
      <c r="AO10" s="77">
        <v>120</v>
      </c>
      <c r="AP10" s="77" t="s">
        <v>44</v>
      </c>
      <c r="AQ10" s="78">
        <f>AO10*42%</f>
        <v>50.4</v>
      </c>
      <c r="AR10" s="98">
        <f t="shared" si="1"/>
        <v>302.39999999999998</v>
      </c>
      <c r="AS10" s="77" t="s">
        <v>44</v>
      </c>
      <c r="AT10" s="81">
        <f>AQ9</f>
        <v>39.9</v>
      </c>
      <c r="AU10" s="77"/>
      <c r="AV10" s="77"/>
      <c r="AW10" s="71" t="s">
        <v>46</v>
      </c>
      <c r="AX10" s="11">
        <v>0.2</v>
      </c>
      <c r="AY10" s="71" t="s">
        <v>47</v>
      </c>
      <c r="AZ10" s="11">
        <v>0.2</v>
      </c>
      <c r="BA10" s="11"/>
      <c r="BB10" s="77" t="s">
        <v>48</v>
      </c>
      <c r="BC10" s="83">
        <v>35</v>
      </c>
      <c r="BD10" s="71">
        <f t="shared" si="2"/>
        <v>378</v>
      </c>
    </row>
    <row r="11" spans="1:57" s="107" customFormat="1" ht="27" customHeight="1">
      <c r="A11" s="101"/>
      <c r="B11" s="102"/>
      <c r="C11" s="421" t="s">
        <v>49</v>
      </c>
      <c r="D11" s="421"/>
      <c r="E11" s="421"/>
      <c r="F11" s="73"/>
      <c r="G11" s="103"/>
      <c r="H11" s="104"/>
      <c r="I11" s="421" t="s">
        <v>50</v>
      </c>
      <c r="J11" s="421"/>
      <c r="K11" s="421"/>
      <c r="L11" s="94"/>
      <c r="M11" s="94"/>
      <c r="N11" s="94"/>
      <c r="O11" s="105"/>
      <c r="P11" s="421" t="s">
        <v>51</v>
      </c>
      <c r="Q11" s="421"/>
      <c r="R11" s="421"/>
      <c r="S11" s="94"/>
      <c r="T11" s="94"/>
      <c r="U11" s="103"/>
      <c r="V11" s="106"/>
      <c r="W11" s="102"/>
      <c r="X11" s="106"/>
      <c r="Y11" s="424" t="s">
        <v>52</v>
      </c>
      <c r="Z11" s="424"/>
      <c r="AA11" s="424"/>
      <c r="AB11" s="73"/>
      <c r="AC11" s="73"/>
      <c r="AD11" s="101"/>
      <c r="AF11" s="108"/>
      <c r="AG11" s="108"/>
      <c r="AH11" s="108"/>
      <c r="AI11" s="108"/>
      <c r="AJ11" s="108"/>
      <c r="AK11" s="108"/>
      <c r="AL11" s="108"/>
      <c r="AM11" s="108"/>
      <c r="AN11" s="71" t="s">
        <v>53</v>
      </c>
      <c r="AO11" s="71">
        <v>150</v>
      </c>
      <c r="AP11" s="77" t="s">
        <v>53</v>
      </c>
      <c r="AQ11" s="78">
        <f>AO11*42%</f>
        <v>63</v>
      </c>
      <c r="AR11" s="98">
        <f t="shared" si="1"/>
        <v>378</v>
      </c>
      <c r="AS11" s="77" t="s">
        <v>53</v>
      </c>
      <c r="AT11" s="77">
        <f t="shared" ref="AT11:AT16" si="3">$AX$2/8</f>
        <v>30</v>
      </c>
      <c r="AU11" s="77"/>
      <c r="AV11" s="77"/>
      <c r="AW11" s="71"/>
      <c r="AX11" s="71"/>
      <c r="AY11" s="71" t="s">
        <v>54</v>
      </c>
      <c r="AZ11" s="11">
        <v>0.1</v>
      </c>
      <c r="BA11" s="96"/>
      <c r="BB11" s="77" t="s">
        <v>55</v>
      </c>
      <c r="BC11" s="83">
        <v>35</v>
      </c>
      <c r="BD11" s="71">
        <f t="shared" si="2"/>
        <v>239.39999999999998</v>
      </c>
    </row>
    <row r="12" spans="1:57" s="71" customFormat="1" ht="14.45" customHeight="1">
      <c r="A12" s="87"/>
      <c r="D12" s="72"/>
      <c r="E12" s="73"/>
      <c r="F12" s="73"/>
      <c r="G12" s="73"/>
      <c r="H12" s="109"/>
      <c r="J12" s="72"/>
      <c r="K12" s="73"/>
      <c r="L12" s="73"/>
      <c r="M12" s="73"/>
      <c r="N12" s="73"/>
      <c r="O12" s="110"/>
      <c r="Q12" s="72"/>
      <c r="R12" s="73"/>
      <c r="S12" s="73"/>
      <c r="T12" s="73"/>
      <c r="U12" s="73"/>
      <c r="V12" s="95"/>
      <c r="X12" s="95"/>
      <c r="Y12" s="435" t="s">
        <v>56</v>
      </c>
      <c r="Z12" s="435"/>
      <c r="AA12" s="435"/>
      <c r="AB12" s="73"/>
      <c r="AC12" s="73"/>
      <c r="AD12" s="87"/>
      <c r="AN12" s="77" t="s">
        <v>48</v>
      </c>
      <c r="AO12" s="77">
        <v>95</v>
      </c>
      <c r="AP12" s="77" t="s">
        <v>48</v>
      </c>
      <c r="AQ12" s="78">
        <f t="shared" si="0"/>
        <v>39.9</v>
      </c>
      <c r="AR12" s="98">
        <f t="shared" si="1"/>
        <v>239.39999999999998</v>
      </c>
      <c r="AS12" s="77" t="s">
        <v>48</v>
      </c>
      <c r="AT12" s="77">
        <f t="shared" si="3"/>
        <v>30</v>
      </c>
      <c r="AU12" s="77"/>
      <c r="AV12" s="77"/>
      <c r="AW12" s="102"/>
      <c r="AX12" s="102"/>
      <c r="AY12" s="71" t="s">
        <v>57</v>
      </c>
      <c r="AZ12" s="11">
        <v>0.1</v>
      </c>
      <c r="BA12" s="96"/>
      <c r="BB12" s="77" t="s">
        <v>58</v>
      </c>
      <c r="BC12" s="78">
        <v>40</v>
      </c>
      <c r="BD12" s="71">
        <f t="shared" si="2"/>
        <v>239.39999999999998</v>
      </c>
    </row>
    <row r="13" spans="1:57" s="71" customFormat="1" ht="17.100000000000001" customHeight="1">
      <c r="A13" s="87"/>
      <c r="C13" s="111" t="s">
        <v>59</v>
      </c>
      <c r="D13" s="112"/>
      <c r="E13" s="19" t="s">
        <v>48</v>
      </c>
      <c r="F13" s="113"/>
      <c r="G13" s="73"/>
      <c r="H13" s="109"/>
      <c r="I13" s="111" t="s">
        <v>59</v>
      </c>
      <c r="J13" s="112"/>
      <c r="K13" s="19" t="s">
        <v>48</v>
      </c>
      <c r="L13" s="114"/>
      <c r="M13" s="73"/>
      <c r="N13" s="73"/>
      <c r="O13" s="110"/>
      <c r="P13" s="111" t="s">
        <v>59</v>
      </c>
      <c r="Q13" s="112"/>
      <c r="R13" s="19" t="s">
        <v>48</v>
      </c>
      <c r="S13" s="114"/>
      <c r="T13" s="73"/>
      <c r="U13" s="73"/>
      <c r="V13" s="95"/>
      <c r="X13" s="95"/>
      <c r="Y13" s="435"/>
      <c r="Z13" s="435"/>
      <c r="AA13" s="435"/>
      <c r="AB13" s="73"/>
      <c r="AC13" s="73"/>
      <c r="AD13" s="87"/>
      <c r="AN13" s="77" t="s">
        <v>55</v>
      </c>
      <c r="AO13" s="77">
        <v>95</v>
      </c>
      <c r="AP13" s="77" t="s">
        <v>55</v>
      </c>
      <c r="AQ13" s="78">
        <f t="shared" si="0"/>
        <v>39.9</v>
      </c>
      <c r="AR13" s="98">
        <f t="shared" si="1"/>
        <v>239.39999999999998</v>
      </c>
      <c r="AS13" s="77" t="s">
        <v>55</v>
      </c>
      <c r="AT13" s="77">
        <f t="shared" si="3"/>
        <v>30</v>
      </c>
      <c r="AU13" s="77"/>
      <c r="AV13" s="77"/>
      <c r="AY13" s="71" t="s">
        <v>60</v>
      </c>
      <c r="AZ13" s="11">
        <v>0.1</v>
      </c>
      <c r="BA13" s="96"/>
      <c r="BB13" s="77" t="s">
        <v>61</v>
      </c>
      <c r="BC13" s="78">
        <v>40</v>
      </c>
      <c r="BD13" s="71">
        <f t="shared" si="2"/>
        <v>239.39999999999998</v>
      </c>
    </row>
    <row r="14" spans="1:57" s="71" customFormat="1" ht="17.100000000000001" customHeight="1">
      <c r="A14" s="87"/>
      <c r="D14" s="72"/>
      <c r="E14" s="10"/>
      <c r="F14" s="10"/>
      <c r="G14" s="73"/>
      <c r="H14" s="109"/>
      <c r="I14" s="73"/>
      <c r="J14" s="115"/>
      <c r="K14" s="10"/>
      <c r="L14" s="114"/>
      <c r="M14" s="73"/>
      <c r="N14" s="73"/>
      <c r="O14" s="110"/>
      <c r="P14" s="73"/>
      <c r="Q14" s="115"/>
      <c r="R14" s="10"/>
      <c r="S14" s="114"/>
      <c r="T14" s="73"/>
      <c r="U14" s="73"/>
      <c r="V14" s="95"/>
      <c r="X14" s="95"/>
      <c r="Y14" s="71" t="s">
        <v>62</v>
      </c>
      <c r="Z14" s="430" t="s">
        <v>63</v>
      </c>
      <c r="AA14" s="430"/>
      <c r="AB14" s="73"/>
      <c r="AC14" s="73"/>
      <c r="AD14" s="87"/>
      <c r="AN14" s="77" t="s">
        <v>58</v>
      </c>
      <c r="AO14" s="77">
        <v>95</v>
      </c>
      <c r="AP14" s="77" t="s">
        <v>58</v>
      </c>
      <c r="AQ14" s="78">
        <f t="shared" si="0"/>
        <v>39.9</v>
      </c>
      <c r="AR14" s="98">
        <f t="shared" si="1"/>
        <v>239.39999999999998</v>
      </c>
      <c r="AS14" s="77" t="s">
        <v>58</v>
      </c>
      <c r="AT14" s="77">
        <f t="shared" si="3"/>
        <v>30</v>
      </c>
      <c r="AU14" s="77"/>
      <c r="AV14" s="77"/>
      <c r="AY14" s="71" t="s">
        <v>64</v>
      </c>
      <c r="AZ14" s="11">
        <v>0</v>
      </c>
      <c r="BA14" s="11"/>
      <c r="BB14" s="77" t="s">
        <v>65</v>
      </c>
      <c r="BC14" s="78">
        <v>40</v>
      </c>
      <c r="BD14" s="71">
        <f t="shared" si="2"/>
        <v>239.39999999999998</v>
      </c>
    </row>
    <row r="15" spans="1:57" s="71" customFormat="1" ht="17.100000000000001" customHeight="1">
      <c r="A15" s="87"/>
      <c r="C15" s="116" t="s">
        <v>66</v>
      </c>
      <c r="D15" s="72"/>
      <c r="E15" s="22">
        <v>1</v>
      </c>
      <c r="F15" s="73">
        <f>E15*E16</f>
        <v>2</v>
      </c>
      <c r="G15" s="73"/>
      <c r="H15" s="109"/>
      <c r="I15" s="75" t="s">
        <v>67</v>
      </c>
      <c r="J15" s="115"/>
      <c r="K15" s="117"/>
      <c r="L15" s="114"/>
      <c r="M15" s="73"/>
      <c r="N15" s="73"/>
      <c r="O15" s="110"/>
      <c r="P15" s="75" t="s">
        <v>67</v>
      </c>
      <c r="Q15" s="115"/>
      <c r="R15" s="117"/>
      <c r="S15" s="114"/>
      <c r="T15" s="73"/>
      <c r="U15" s="73"/>
      <c r="V15" s="95"/>
      <c r="X15" s="95"/>
      <c r="AB15" s="73"/>
      <c r="AC15" s="73"/>
      <c r="AD15" s="87"/>
      <c r="AN15" s="77" t="s">
        <v>61</v>
      </c>
      <c r="AO15" s="77">
        <v>95</v>
      </c>
      <c r="AP15" s="77" t="s">
        <v>61</v>
      </c>
      <c r="AQ15" s="78">
        <f t="shared" si="0"/>
        <v>39.9</v>
      </c>
      <c r="AR15" s="98">
        <f t="shared" si="1"/>
        <v>239.39999999999998</v>
      </c>
      <c r="AS15" s="77" t="s">
        <v>61</v>
      </c>
      <c r="AT15" s="77">
        <f t="shared" si="3"/>
        <v>30</v>
      </c>
      <c r="AU15" s="77"/>
      <c r="AV15" s="77"/>
      <c r="AY15" s="71" t="s">
        <v>68</v>
      </c>
      <c r="AZ15" s="11">
        <v>0</v>
      </c>
      <c r="BA15" s="11"/>
      <c r="BB15" s="77" t="s">
        <v>69</v>
      </c>
      <c r="BC15" s="98">
        <f>42%*AO16</f>
        <v>39.9</v>
      </c>
      <c r="BD15" s="71">
        <f t="shared" si="2"/>
        <v>239.39999999999998</v>
      </c>
    </row>
    <row r="16" spans="1:57" s="71" customFormat="1" ht="17.100000000000001" customHeight="1">
      <c r="A16" s="87"/>
      <c r="C16" s="116" t="s">
        <v>70</v>
      </c>
      <c r="D16" s="72"/>
      <c r="E16" s="20">
        <v>2</v>
      </c>
      <c r="F16" s="118">
        <f>IFERROR(VLOOKUP(E13,AN:AO,2,FALSE)*F15,0)</f>
        <v>190</v>
      </c>
      <c r="G16" s="73"/>
      <c r="H16" s="109"/>
      <c r="I16" s="73" t="s">
        <v>66</v>
      </c>
      <c r="J16" s="115"/>
      <c r="K16" s="20">
        <v>1</v>
      </c>
      <c r="L16" s="114"/>
      <c r="M16" s="118">
        <f>VLOOKUP(K13,AP:AR,3,FALSE)*K16*K17</f>
        <v>239.39999999999998</v>
      </c>
      <c r="N16" s="118"/>
      <c r="O16" s="110"/>
      <c r="P16" s="73" t="s">
        <v>66</v>
      </c>
      <c r="Q16" s="115"/>
      <c r="R16" s="20">
        <v>1</v>
      </c>
      <c r="S16" s="114"/>
      <c r="T16" s="118">
        <f>VLOOKUP(R13,AP:AR,3,FALSE)*R16*R17</f>
        <v>239.39999999999998</v>
      </c>
      <c r="U16" s="73"/>
      <c r="V16" s="95"/>
      <c r="X16" s="95"/>
      <c r="Y16" s="71" t="s">
        <v>71</v>
      </c>
      <c r="Z16" s="430" t="s">
        <v>28</v>
      </c>
      <c r="AA16" s="430"/>
      <c r="AB16" s="73"/>
      <c r="AC16" s="73"/>
      <c r="AD16" s="87"/>
      <c r="AN16" s="77" t="s">
        <v>65</v>
      </c>
      <c r="AO16" s="71">
        <v>95</v>
      </c>
      <c r="AP16" s="77" t="s">
        <v>65</v>
      </c>
      <c r="AQ16" s="78">
        <f>AO16*42%</f>
        <v>39.9</v>
      </c>
      <c r="AR16" s="98">
        <f t="shared" si="1"/>
        <v>239.39999999999998</v>
      </c>
      <c r="AS16" s="77" t="s">
        <v>65</v>
      </c>
      <c r="AT16" s="77">
        <f t="shared" si="3"/>
        <v>30</v>
      </c>
      <c r="AU16" s="77"/>
      <c r="AV16" s="77"/>
      <c r="AY16" s="71" t="s">
        <v>72</v>
      </c>
      <c r="AZ16" s="11">
        <v>0</v>
      </c>
      <c r="BA16" s="11"/>
      <c r="BB16" s="71" t="s">
        <v>73</v>
      </c>
      <c r="BC16" s="71">
        <v>100</v>
      </c>
      <c r="BD16" s="71">
        <v>1000</v>
      </c>
    </row>
    <row r="17" spans="1:56" s="71" customFormat="1" ht="17.100000000000001" customHeight="1">
      <c r="A17" s="87"/>
      <c r="D17" s="72"/>
      <c r="E17" s="119">
        <v>1</v>
      </c>
      <c r="F17" s="118"/>
      <c r="G17" s="73"/>
      <c r="H17" s="109"/>
      <c r="I17" s="73" t="s">
        <v>74</v>
      </c>
      <c r="J17" s="115"/>
      <c r="K17" s="20">
        <v>1</v>
      </c>
      <c r="L17" s="114"/>
      <c r="M17" s="73"/>
      <c r="N17" s="73"/>
      <c r="O17" s="110"/>
      <c r="P17" s="73" t="s">
        <v>74</v>
      </c>
      <c r="Q17" s="115"/>
      <c r="R17" s="20">
        <v>1</v>
      </c>
      <c r="S17" s="114"/>
      <c r="T17" s="73"/>
      <c r="U17" s="73"/>
      <c r="V17" s="95"/>
      <c r="X17" s="95"/>
      <c r="Z17" s="429"/>
      <c r="AA17" s="429"/>
      <c r="AB17" s="73"/>
      <c r="AC17" s="73"/>
      <c r="AD17" s="87"/>
      <c r="AN17" s="71" t="s">
        <v>75</v>
      </c>
      <c r="AO17" s="71">
        <v>190</v>
      </c>
      <c r="AP17" s="77" t="s">
        <v>75</v>
      </c>
      <c r="AQ17" s="78">
        <f>AO17*42%</f>
        <v>79.8</v>
      </c>
      <c r="AR17" s="98">
        <f t="shared" si="1"/>
        <v>478.79999999999995</v>
      </c>
      <c r="AS17" s="77" t="s">
        <v>75</v>
      </c>
      <c r="AT17" s="81">
        <f>AQ17</f>
        <v>79.8</v>
      </c>
      <c r="AU17" s="77"/>
      <c r="AV17" s="77"/>
      <c r="AY17" s="71" t="s">
        <v>76</v>
      </c>
      <c r="AZ17" s="11">
        <v>0.1</v>
      </c>
      <c r="BA17" s="11"/>
      <c r="BB17" s="71" t="s">
        <v>77</v>
      </c>
      <c r="BC17" s="71">
        <v>100</v>
      </c>
      <c r="BD17" s="71">
        <v>1000</v>
      </c>
    </row>
    <row r="18" spans="1:56" s="71" customFormat="1" ht="17.100000000000001" customHeight="1">
      <c r="A18" s="87"/>
      <c r="C18" s="116" t="s">
        <v>78</v>
      </c>
      <c r="D18" s="72"/>
      <c r="E18" s="19">
        <v>0</v>
      </c>
      <c r="F18" s="114"/>
      <c r="G18" s="73"/>
      <c r="H18" s="109"/>
      <c r="I18" s="75" t="s">
        <v>79</v>
      </c>
      <c r="J18" s="115"/>
      <c r="K18" s="118"/>
      <c r="L18" s="114"/>
      <c r="M18" s="73"/>
      <c r="N18" s="73"/>
      <c r="O18" s="110"/>
      <c r="P18" s="75" t="s">
        <v>79</v>
      </c>
      <c r="Q18" s="115"/>
      <c r="R18" s="118"/>
      <c r="S18" s="114"/>
      <c r="T18" s="73"/>
      <c r="U18" s="73"/>
      <c r="V18" s="95"/>
      <c r="X18" s="95"/>
      <c r="Y18" s="71" t="s">
        <v>80</v>
      </c>
      <c r="Z18" s="430">
        <v>1</v>
      </c>
      <c r="AA18" s="430"/>
      <c r="AB18" s="73" t="s">
        <v>81</v>
      </c>
      <c r="AC18" s="73"/>
      <c r="AD18" s="87"/>
      <c r="AN18" s="77" t="s">
        <v>69</v>
      </c>
      <c r="AO18" s="71">
        <v>100</v>
      </c>
      <c r="AP18" s="77" t="s">
        <v>69</v>
      </c>
      <c r="AQ18" s="78">
        <f>AO18*42%</f>
        <v>42</v>
      </c>
      <c r="AR18" s="77">
        <f t="shared" si="1"/>
        <v>252</v>
      </c>
      <c r="AS18" s="77" t="s">
        <v>69</v>
      </c>
      <c r="AT18" s="81">
        <f>AQ18</f>
        <v>42</v>
      </c>
      <c r="AU18" s="77"/>
      <c r="AV18" s="77"/>
      <c r="AY18" s="71" t="s">
        <v>82</v>
      </c>
      <c r="AZ18" s="11">
        <v>0.2</v>
      </c>
      <c r="BA18" s="11"/>
      <c r="BB18" s="71" t="s">
        <v>83</v>
      </c>
      <c r="BC18" s="71">
        <v>100</v>
      </c>
      <c r="BD18" s="71">
        <v>1000</v>
      </c>
    </row>
    <row r="19" spans="1:56" s="71" customFormat="1" ht="17.100000000000001" customHeight="1">
      <c r="A19" s="87"/>
      <c r="C19" s="116" t="s">
        <v>84</v>
      </c>
      <c r="D19" s="72"/>
      <c r="E19" s="21">
        <v>0</v>
      </c>
      <c r="F19" s="114"/>
      <c r="G19" s="73"/>
      <c r="H19" s="109"/>
      <c r="I19" s="73" t="s">
        <v>85</v>
      </c>
      <c r="J19" s="115"/>
      <c r="K19" s="20">
        <v>0</v>
      </c>
      <c r="L19" s="114"/>
      <c r="M19" s="118">
        <f>AX5*K19*K20</f>
        <v>0</v>
      </c>
      <c r="N19" s="118"/>
      <c r="O19" s="110"/>
      <c r="P19" s="73" t="s">
        <v>85</v>
      </c>
      <c r="Q19" s="115"/>
      <c r="R19" s="20">
        <v>0</v>
      </c>
      <c r="S19" s="114"/>
      <c r="T19" s="118">
        <f>AX5*R19*R20</f>
        <v>0</v>
      </c>
      <c r="U19" s="73"/>
      <c r="V19" s="95"/>
      <c r="X19" s="95"/>
      <c r="Y19" s="71" t="s">
        <v>86</v>
      </c>
      <c r="Z19" s="431" t="s">
        <v>87</v>
      </c>
      <c r="AA19" s="432"/>
      <c r="AB19" s="10">
        <f>IF(Z20=0,"Error: No days or hours entered",
IF(Z20="", "Error: No days or hours entered",
IF(Z19="Hours", AV5,
IF(AND(Z19="Days", Z20&gt;=3), AV7,
IF(AND(Z19="Days", OR(Z20=1, Z20=2)), AV6,
"Error: Invalid entry")))))</f>
        <v>0.2</v>
      </c>
      <c r="AC19" s="120">
        <f>AB19*100</f>
        <v>20</v>
      </c>
      <c r="AD19" s="87"/>
      <c r="AS19" s="77"/>
      <c r="AT19" s="77"/>
      <c r="AU19" s="77"/>
      <c r="AV19" s="77"/>
      <c r="AY19" s="71" t="s">
        <v>88</v>
      </c>
      <c r="AZ19" s="11">
        <v>0.15</v>
      </c>
      <c r="BA19" s="11"/>
    </row>
    <row r="20" spans="1:56" s="71" customFormat="1" ht="17.100000000000001" customHeight="1">
      <c r="A20" s="87"/>
      <c r="C20" s="116" t="s">
        <v>89</v>
      </c>
      <c r="D20" s="72"/>
      <c r="E20" s="19" t="s">
        <v>90</v>
      </c>
      <c r="F20" s="114"/>
      <c r="G20" s="73"/>
      <c r="H20" s="109"/>
      <c r="I20" s="73" t="s">
        <v>74</v>
      </c>
      <c r="J20" s="115"/>
      <c r="K20" s="20">
        <v>0</v>
      </c>
      <c r="L20" s="73"/>
      <c r="M20" s="73"/>
      <c r="N20" s="73"/>
      <c r="O20" s="110"/>
      <c r="P20" s="73" t="s">
        <v>74</v>
      </c>
      <c r="Q20" s="115"/>
      <c r="R20" s="20">
        <v>0</v>
      </c>
      <c r="S20" s="73"/>
      <c r="T20" s="73"/>
      <c r="U20" s="73"/>
      <c r="V20" s="95"/>
      <c r="X20" s="95"/>
      <c r="Y20" s="71" t="s">
        <v>91</v>
      </c>
      <c r="Z20" s="431">
        <v>1</v>
      </c>
      <c r="AA20" s="432"/>
      <c r="AB20" s="73"/>
      <c r="AC20" s="73"/>
      <c r="AD20" s="87"/>
      <c r="AS20" s="77"/>
      <c r="AT20" s="77"/>
      <c r="AU20" s="77"/>
      <c r="AV20" s="77"/>
      <c r="AY20" s="71" t="s">
        <v>92</v>
      </c>
      <c r="AZ20" s="11">
        <v>0</v>
      </c>
      <c r="BA20" s="11"/>
    </row>
    <row r="21" spans="1:56" s="71" customFormat="1" ht="17.100000000000001" customHeight="1">
      <c r="A21" s="87"/>
      <c r="C21" s="116" t="s">
        <v>93</v>
      </c>
      <c r="D21" s="72"/>
      <c r="E21" s="118">
        <f>IF(ISNUMBER(SEARCH("NHS",C23)),F16*AV2*1.15, F16*AV2)</f>
        <v>57</v>
      </c>
      <c r="F21" s="118"/>
      <c r="G21" s="73"/>
      <c r="H21" s="109"/>
      <c r="I21" s="121">
        <f>(K16*K17)+(K19*K20)</f>
        <v>1</v>
      </c>
      <c r="J21" s="122"/>
      <c r="K21" s="119">
        <f>M16+M19</f>
        <v>239.39999999999998</v>
      </c>
      <c r="L21" s="73" t="s">
        <v>94</v>
      </c>
      <c r="M21" s="73"/>
      <c r="N21" s="73"/>
      <c r="O21" s="110"/>
      <c r="P21" s="121">
        <f>(R16*R17)+(R19*R20)</f>
        <v>1</v>
      </c>
      <c r="Q21" s="122"/>
      <c r="R21" s="119">
        <f>T16+T19</f>
        <v>239.39999999999998</v>
      </c>
      <c r="S21" s="73" t="s">
        <v>94</v>
      </c>
      <c r="T21" s="73"/>
      <c r="U21" s="73"/>
      <c r="V21" s="95"/>
      <c r="X21" s="95"/>
      <c r="AB21" s="73"/>
      <c r="AC21" s="73"/>
      <c r="AD21" s="87"/>
      <c r="AP21" s="77"/>
      <c r="AQ21" s="77"/>
      <c r="AR21" s="77"/>
      <c r="AS21" s="77"/>
      <c r="AT21" s="77"/>
      <c r="AU21" s="77"/>
      <c r="AV21" s="77"/>
      <c r="AY21" s="71" t="s">
        <v>95</v>
      </c>
      <c r="AZ21" s="11">
        <v>0.12</v>
      </c>
      <c r="BA21" s="11"/>
    </row>
    <row r="22" spans="1:56" s="71" customFormat="1" ht="17.100000000000001" customHeight="1">
      <c r="A22" s="87"/>
      <c r="C22" s="123" t="s">
        <v>96</v>
      </c>
      <c r="D22" s="13">
        <f>VLOOKUP(C23,AY:AZ,2,FALSE)</f>
        <v>0</v>
      </c>
      <c r="E22" s="114">
        <f>SUM(E30:E31)*D22</f>
        <v>0</v>
      </c>
      <c r="F22" s="114">
        <f>D22*100</f>
        <v>0</v>
      </c>
      <c r="G22" s="73"/>
      <c r="H22" s="109"/>
      <c r="I22" s="73" t="s">
        <v>78</v>
      </c>
      <c r="J22" s="115"/>
      <c r="K22" s="19">
        <v>65</v>
      </c>
      <c r="L22" s="118">
        <f>K21/(1-AV3-0.2)</f>
        <v>398.99999999999989</v>
      </c>
      <c r="M22" s="118">
        <f>K21+K25</f>
        <v>319.19999999999993</v>
      </c>
      <c r="N22" s="118"/>
      <c r="O22" s="110"/>
      <c r="P22" s="73" t="s">
        <v>78</v>
      </c>
      <c r="Q22" s="115"/>
      <c r="R22" s="19">
        <v>0</v>
      </c>
      <c r="S22" s="118">
        <f>R21/(1-AV4-0.2)</f>
        <v>368.30769230769232</v>
      </c>
      <c r="T22" s="118">
        <f>R21+R25</f>
        <v>294.64615384615382</v>
      </c>
      <c r="U22" s="73"/>
      <c r="V22" s="95"/>
      <c r="X22" s="95"/>
      <c r="Y22" s="71" t="s">
        <v>97</v>
      </c>
      <c r="Z22" s="72"/>
      <c r="AA22" s="14">
        <v>80</v>
      </c>
      <c r="AB22" s="73"/>
      <c r="AC22" s="73"/>
      <c r="AD22" s="87"/>
      <c r="AP22" s="77"/>
      <c r="AQ22" s="77"/>
      <c r="AR22" s="77"/>
      <c r="AS22" s="77"/>
      <c r="AT22" s="77"/>
      <c r="AU22" s="77"/>
      <c r="AV22" s="77"/>
      <c r="AY22" s="71" t="s">
        <v>98</v>
      </c>
      <c r="AZ22" s="11">
        <v>0</v>
      </c>
      <c r="BA22" s="11" t="s">
        <v>6</v>
      </c>
    </row>
    <row r="23" spans="1:56" s="71" customFormat="1" ht="17.100000000000001" customHeight="1">
      <c r="A23" s="87"/>
      <c r="C23" s="12" t="s">
        <v>99</v>
      </c>
      <c r="D23" s="15"/>
      <c r="E23" s="427"/>
      <c r="F23" s="73"/>
      <c r="G23" s="73"/>
      <c r="H23" s="109"/>
      <c r="I23" s="73" t="s">
        <v>84</v>
      </c>
      <c r="J23" s="115"/>
      <c r="K23" s="21">
        <v>0</v>
      </c>
      <c r="L23" s="118">
        <f>(M22)/(1-J26-0.2)</f>
        <v>398.99999999999989</v>
      </c>
      <c r="M23" s="73">
        <f>MROUND(L23,5)</f>
        <v>400</v>
      </c>
      <c r="N23" s="73"/>
      <c r="O23" s="110"/>
      <c r="P23" s="73" t="s">
        <v>84</v>
      </c>
      <c r="Q23" s="115"/>
      <c r="R23" s="21">
        <v>0</v>
      </c>
      <c r="S23" s="118">
        <f>(T22)/(1-Q26-0.2)</f>
        <v>368.30769230769226</v>
      </c>
      <c r="T23" s="73">
        <f>MROUND(S23,5)</f>
        <v>370</v>
      </c>
      <c r="U23" s="73"/>
      <c r="V23" s="95"/>
      <c r="X23" s="95"/>
      <c r="Y23" s="116" t="s">
        <v>89</v>
      </c>
      <c r="Z23" s="72"/>
      <c r="AA23" s="14">
        <v>0</v>
      </c>
      <c r="AB23" s="73"/>
      <c r="AC23" s="73"/>
      <c r="AD23" s="87"/>
      <c r="AP23" s="422" t="s">
        <v>100</v>
      </c>
      <c r="AQ23" s="422"/>
      <c r="AR23" s="422"/>
      <c r="AS23" s="77"/>
      <c r="AT23" s="77"/>
      <c r="AU23" s="77"/>
      <c r="AV23" s="77"/>
      <c r="AY23" s="71" t="s">
        <v>101</v>
      </c>
      <c r="AZ23" s="54">
        <v>0.14399999999999999</v>
      </c>
      <c r="BA23" s="11"/>
    </row>
    <row r="24" spans="1:56" s="71" customFormat="1" ht="17.100000000000001" customHeight="1">
      <c r="A24" s="87"/>
      <c r="D24" s="72"/>
      <c r="E24" s="428"/>
      <c r="F24" s="73"/>
      <c r="G24" s="73"/>
      <c r="H24" s="109"/>
      <c r="I24" s="73" t="s">
        <v>89</v>
      </c>
      <c r="J24" s="115"/>
      <c r="K24" s="19">
        <v>292</v>
      </c>
      <c r="L24" s="73" t="s">
        <v>102</v>
      </c>
      <c r="M24" s="73"/>
      <c r="N24" s="73"/>
      <c r="O24" s="110"/>
      <c r="P24" s="73" t="s">
        <v>89</v>
      </c>
      <c r="Q24" s="115"/>
      <c r="R24" s="19">
        <v>1136</v>
      </c>
      <c r="S24" s="73" t="s">
        <v>102</v>
      </c>
      <c r="T24" s="73"/>
      <c r="U24" s="73"/>
      <c r="V24" s="95"/>
      <c r="X24" s="95"/>
      <c r="Y24" s="71" t="s">
        <v>78</v>
      </c>
      <c r="Z24" s="72"/>
      <c r="AA24" s="14"/>
      <c r="AB24" s="73" t="s">
        <v>94</v>
      </c>
      <c r="AC24" s="73"/>
      <c r="AD24" s="87"/>
      <c r="AP24" s="422"/>
      <c r="AQ24" s="422"/>
      <c r="AR24" s="422"/>
      <c r="AS24" s="77"/>
      <c r="AT24" s="77"/>
      <c r="AU24" s="77"/>
      <c r="AV24" s="77"/>
      <c r="AY24" s="71" t="s">
        <v>103</v>
      </c>
      <c r="AZ24" s="11">
        <v>0.15</v>
      </c>
      <c r="BA24" s="11"/>
    </row>
    <row r="25" spans="1:56" s="71" customFormat="1" ht="17.100000000000001" customHeight="1">
      <c r="A25" s="87"/>
      <c r="C25" s="124" t="s">
        <v>104</v>
      </c>
      <c r="D25" s="125"/>
      <c r="E25" s="126"/>
      <c r="F25" s="73"/>
      <c r="G25" s="73"/>
      <c r="H25" s="109"/>
      <c r="I25" s="73" t="s">
        <v>93</v>
      </c>
      <c r="J25" s="115"/>
      <c r="K25" s="118">
        <f>IF(ISNUMBER(SEARCH("NHS",I27)),L22*AV3*1.15,L22*AV3)</f>
        <v>79.799999999999983</v>
      </c>
      <c r="L25" s="118">
        <f>(SUM(K22:K24)/(1-J26-0.2))</f>
        <v>446.25</v>
      </c>
      <c r="M25" s="73">
        <f>MROUND(L25,5)</f>
        <v>445</v>
      </c>
      <c r="N25" s="73"/>
      <c r="O25" s="110"/>
      <c r="P25" s="73" t="s">
        <v>93</v>
      </c>
      <c r="Q25" s="115"/>
      <c r="R25" s="118">
        <f>IF(ISNUMBER(SEARCH("NHS",P27)),S22*AV4*1.15,S22*AV4)</f>
        <v>55.246153846153845</v>
      </c>
      <c r="S25" s="118">
        <f>(SUM(R22:R24)/(1-Q26-0.2))</f>
        <v>1420</v>
      </c>
      <c r="T25" s="73">
        <f>MROUND(S25,5)</f>
        <v>1420</v>
      </c>
      <c r="U25" s="73"/>
      <c r="V25" s="95"/>
      <c r="X25" s="95"/>
      <c r="Y25" s="71" t="s">
        <v>84</v>
      </c>
      <c r="Z25" s="72"/>
      <c r="AA25" s="14">
        <v>0</v>
      </c>
      <c r="AB25" s="118">
        <f>AA22/(1-AV4-0.2)</f>
        <v>123.07692307692309</v>
      </c>
      <c r="AC25" s="118">
        <f>AA22+AA26</f>
        <v>104.61538461538461</v>
      </c>
      <c r="AD25" s="87"/>
      <c r="AP25" s="77"/>
      <c r="AQ25" s="77"/>
      <c r="AR25" s="77"/>
      <c r="AS25" s="77"/>
      <c r="AT25" s="77"/>
      <c r="AU25" s="77"/>
      <c r="AV25" s="77"/>
      <c r="AY25" s="71" t="s">
        <v>105</v>
      </c>
      <c r="AZ25" s="11">
        <v>0.15</v>
      </c>
      <c r="BA25" s="11" t="s">
        <v>6</v>
      </c>
    </row>
    <row r="26" spans="1:56" s="71" customFormat="1" ht="17.100000000000001" customHeight="1">
      <c r="A26" s="87"/>
      <c r="C26" s="127" t="s">
        <v>106</v>
      </c>
      <c r="D26" s="72"/>
      <c r="E26" s="128">
        <f>SUM(E17:E21)-SUM(E18:E20)+(E22*(E30/SUM(E30:E31)))</f>
        <v>58</v>
      </c>
      <c r="F26" s="118">
        <f>ROUND(E26,0)</f>
        <v>58</v>
      </c>
      <c r="G26" s="73"/>
      <c r="H26" s="109"/>
      <c r="I26" s="73" t="s">
        <v>96</v>
      </c>
      <c r="J26" s="13">
        <f>VLOOKUP(I27,AY:AZ,2,FALSE)</f>
        <v>0</v>
      </c>
      <c r="K26" s="114">
        <f>SUM(K34:K35)*J26</f>
        <v>0</v>
      </c>
      <c r="L26" s="73">
        <f>J26*100</f>
        <v>0</v>
      </c>
      <c r="M26" s="73"/>
      <c r="N26" s="73"/>
      <c r="O26" s="110"/>
      <c r="P26" s="73" t="s">
        <v>96</v>
      </c>
      <c r="Q26" s="13">
        <f>VLOOKUP(P27,AY:AZ,2,FALSE)</f>
        <v>0</v>
      </c>
      <c r="R26" s="114">
        <f>SUM(R34:R35)*Q26</f>
        <v>0</v>
      </c>
      <c r="S26" s="73">
        <f>Q26*100</f>
        <v>0</v>
      </c>
      <c r="T26" s="73"/>
      <c r="U26" s="73"/>
      <c r="V26" s="95"/>
      <c r="X26" s="95"/>
      <c r="Y26" s="116" t="s">
        <v>93</v>
      </c>
      <c r="Z26" s="72"/>
      <c r="AA26" s="129">
        <f>AB25*AB19*(IF(Y28="NHS",1.15,1))</f>
        <v>24.61538461538462</v>
      </c>
      <c r="AB26" s="118">
        <f>AC25/(1-Z27-0.2)</f>
        <v>130.76923076923075</v>
      </c>
      <c r="AC26" s="73">
        <f>MROUND(AB26,5)</f>
        <v>130</v>
      </c>
      <c r="AD26" s="87"/>
      <c r="AP26" s="77"/>
      <c r="AQ26" s="77"/>
      <c r="AR26" s="77"/>
      <c r="AS26" s="77"/>
      <c r="AT26" s="77"/>
      <c r="AU26" s="77"/>
      <c r="AV26" s="77"/>
      <c r="AY26" s="71" t="s">
        <v>107</v>
      </c>
      <c r="AZ26" s="11">
        <v>0.15</v>
      </c>
      <c r="BA26" s="11"/>
    </row>
    <row r="27" spans="1:56" s="71" customFormat="1" ht="17.100000000000001" customHeight="1">
      <c r="A27" s="87"/>
      <c r="C27" s="127" t="s">
        <v>108</v>
      </c>
      <c r="D27" s="72"/>
      <c r="E27" s="128">
        <f>SUM(E18:E20)+(E22*(E31/SUM(E30:E31)))</f>
        <v>0</v>
      </c>
      <c r="F27" s="118">
        <f>ROUND(E27,0)</f>
        <v>0</v>
      </c>
      <c r="G27" s="73"/>
      <c r="H27" s="109"/>
      <c r="I27" s="19" t="s">
        <v>99</v>
      </c>
      <c r="J27" s="15"/>
      <c r="K27" s="427"/>
      <c r="L27" s="120"/>
      <c r="M27" s="120"/>
      <c r="N27" s="120"/>
      <c r="O27" s="110"/>
      <c r="P27" s="19" t="s">
        <v>99</v>
      </c>
      <c r="Q27" s="15"/>
      <c r="R27" s="427"/>
      <c r="S27" s="120"/>
      <c r="T27" s="120"/>
      <c r="U27" s="73"/>
      <c r="V27" s="95"/>
      <c r="X27" s="95"/>
      <c r="Y27" s="123" t="s">
        <v>96</v>
      </c>
      <c r="Z27" s="13">
        <f>VLOOKUP(Y28,AY:AZ,2,FALSE)</f>
        <v>0</v>
      </c>
      <c r="AA27" s="130">
        <f>SUM(AA39:AA40)*Z27</f>
        <v>0</v>
      </c>
      <c r="AB27" s="73" t="s">
        <v>102</v>
      </c>
      <c r="AC27" s="73"/>
      <c r="AD27" s="87"/>
      <c r="AP27" s="77"/>
      <c r="AQ27" s="77"/>
      <c r="AR27" s="77"/>
      <c r="AS27" s="77"/>
      <c r="AT27" s="77"/>
      <c r="AU27" s="77"/>
      <c r="AV27" s="77"/>
      <c r="AY27" s="71" t="s">
        <v>109</v>
      </c>
      <c r="AZ27" s="11">
        <v>0.1</v>
      </c>
      <c r="BA27" s="11"/>
    </row>
    <row r="28" spans="1:56" s="71" customFormat="1" ht="17.100000000000001" customHeight="1">
      <c r="A28" s="87"/>
      <c r="C28" s="127" t="s">
        <v>110</v>
      </c>
      <c r="D28" s="13">
        <f>IFERROR(E28/SUM(E30:E31),0)</f>
        <v>0.72380952380952379</v>
      </c>
      <c r="E28" s="128">
        <f>SUM(E30:E31)-SUM(E26:E27)</f>
        <v>152</v>
      </c>
      <c r="F28" s="118">
        <f>ROUND(E28,0)</f>
        <v>152</v>
      </c>
      <c r="G28" s="73"/>
      <c r="H28" s="109"/>
      <c r="I28" s="73"/>
      <c r="J28" s="115"/>
      <c r="K28" s="428"/>
      <c r="L28" s="120"/>
      <c r="M28" s="120"/>
      <c r="N28" s="120"/>
      <c r="O28" s="110"/>
      <c r="P28" s="73"/>
      <c r="Q28" s="115"/>
      <c r="R28" s="428"/>
      <c r="S28" s="120"/>
      <c r="T28" s="120"/>
      <c r="U28" s="73"/>
      <c r="V28" s="95"/>
      <c r="X28" s="95"/>
      <c r="Y28" s="12" t="s">
        <v>99</v>
      </c>
      <c r="Z28" s="15"/>
      <c r="AA28" s="16"/>
      <c r="AB28" s="118">
        <f>(SUM(AA23:AA25)/(1-Z27-0.2))</f>
        <v>0</v>
      </c>
      <c r="AC28" s="73">
        <f>MROUND(AB28,5)</f>
        <v>0</v>
      </c>
      <c r="AD28" s="87"/>
      <c r="AP28" s="77"/>
      <c r="AQ28" s="77"/>
      <c r="AR28" s="77"/>
      <c r="AS28" s="77"/>
      <c r="AT28" s="77"/>
      <c r="AU28" s="77"/>
      <c r="AV28" s="77"/>
      <c r="AY28" s="71" t="s">
        <v>111</v>
      </c>
      <c r="AZ28" s="11">
        <v>0.12</v>
      </c>
      <c r="BA28" s="11"/>
    </row>
    <row r="29" spans="1:56" s="71" customFormat="1" ht="17.100000000000001" customHeight="1">
      <c r="A29" s="87"/>
      <c r="C29" s="127"/>
      <c r="D29" s="72"/>
      <c r="E29" s="128"/>
      <c r="F29" s="118"/>
      <c r="G29" s="73"/>
      <c r="H29" s="109"/>
      <c r="I29" s="131" t="s">
        <v>104</v>
      </c>
      <c r="J29" s="132"/>
      <c r="K29" s="126"/>
      <c r="L29" s="73"/>
      <c r="M29" s="73"/>
      <c r="N29" s="73"/>
      <c r="O29" s="110"/>
      <c r="P29" s="131" t="s">
        <v>104</v>
      </c>
      <c r="Q29" s="132"/>
      <c r="R29" s="126"/>
      <c r="S29" s="73"/>
      <c r="T29" s="73"/>
      <c r="U29" s="73"/>
      <c r="V29" s="95"/>
      <c r="X29" s="95"/>
      <c r="AA29" s="17"/>
      <c r="AB29" s="73">
        <f>Z27*100</f>
        <v>0</v>
      </c>
      <c r="AC29" s="73"/>
      <c r="AD29" s="87"/>
      <c r="AP29" s="77"/>
      <c r="AQ29" s="77"/>
      <c r="AR29" s="77"/>
      <c r="AS29" s="77"/>
      <c r="AT29" s="77"/>
      <c r="AU29" s="77"/>
      <c r="AV29" s="77"/>
      <c r="AY29" s="71" t="s">
        <v>112</v>
      </c>
      <c r="AZ29" s="11">
        <v>0</v>
      </c>
      <c r="BA29" s="11"/>
    </row>
    <row r="30" spans="1:56" s="71" customFormat="1" ht="17.100000000000001" customHeight="1">
      <c r="A30" s="87"/>
      <c r="C30" s="133" t="s">
        <v>113</v>
      </c>
      <c r="D30" s="134" t="s">
        <v>114</v>
      </c>
      <c r="E30" s="135">
        <f>MROUND((F16)/(1-D22)*IF(OR(ISNUMBER(SEARCH("Oliver Jaques",C23)),ISNUMBER(SEARCH("OIG",C23))),1.1,1),5)</f>
        <v>210</v>
      </c>
      <c r="F30" s="136"/>
      <c r="G30" s="73"/>
      <c r="H30" s="109"/>
      <c r="I30" s="137" t="s">
        <v>106</v>
      </c>
      <c r="J30" s="115"/>
      <c r="K30" s="128">
        <f>SUM(K21:K25)-SUM(K22:K24)+(K26*(K34/SUM(K34:K35)))</f>
        <v>319.19999999999993</v>
      </c>
      <c r="L30" s="118">
        <f>ROUND(K30,0)</f>
        <v>319</v>
      </c>
      <c r="M30" s="118"/>
      <c r="N30" s="118"/>
      <c r="O30" s="110"/>
      <c r="P30" s="137" t="s">
        <v>106</v>
      </c>
      <c r="Q30" s="115"/>
      <c r="R30" s="128">
        <f>SUM(R21:R25)-SUM(R22:R24)+(R26*(R34/SUM(R34:R35)))</f>
        <v>294.64615384615399</v>
      </c>
      <c r="S30" s="118">
        <f>ROUND(R30,0)</f>
        <v>295</v>
      </c>
      <c r="T30" s="118"/>
      <c r="U30" s="73"/>
      <c r="V30" s="95"/>
      <c r="X30" s="95"/>
      <c r="Y30" s="138" t="s">
        <v>115</v>
      </c>
      <c r="Z30" s="139">
        <f>IF(AA30="Select",1,100)</f>
        <v>100</v>
      </c>
      <c r="AA30" s="18" t="s">
        <v>16</v>
      </c>
      <c r="AB30" s="73"/>
      <c r="AC30" s="73"/>
      <c r="AD30" s="87"/>
      <c r="AP30" s="77"/>
      <c r="AQ30" s="77"/>
      <c r="AR30" s="77"/>
      <c r="AS30" s="77"/>
      <c r="AT30" s="77"/>
      <c r="AU30" s="77"/>
      <c r="AV30" s="77"/>
      <c r="AY30" s="71" t="s">
        <v>116</v>
      </c>
      <c r="AZ30" s="11">
        <v>0</v>
      </c>
      <c r="BA30" s="11"/>
    </row>
    <row r="31" spans="1:56" s="71" customFormat="1" ht="17.100000000000001" customHeight="1">
      <c r="A31" s="87"/>
      <c r="C31" s="140"/>
      <c r="D31" s="141" t="s">
        <v>117</v>
      </c>
      <c r="E31" s="135">
        <f>MROUND(SUM(E18:E20)/(1-D22-0.2)*IF(OR(ISNUMBER(SEARCH("Oliver Jaques",C23)),ISNUMBER(SEARCH("OIG",C23))),1.1,1),5)</f>
        <v>0</v>
      </c>
      <c r="F31" s="73"/>
      <c r="G31" s="73"/>
      <c r="H31" s="109"/>
      <c r="I31" s="137" t="s">
        <v>108</v>
      </c>
      <c r="J31" s="115"/>
      <c r="K31" s="128">
        <f>SUM(K22:K24)+(K26*(K35/SUM(K34:K35)))</f>
        <v>357</v>
      </c>
      <c r="L31" s="118">
        <f>ROUND(K31,0)</f>
        <v>357</v>
      </c>
      <c r="M31" s="73"/>
      <c r="N31" s="73"/>
      <c r="O31" s="110"/>
      <c r="P31" s="137" t="s">
        <v>108</v>
      </c>
      <c r="Q31" s="115"/>
      <c r="R31" s="128">
        <f>SUM(R22:R24)+(R26*(R35/SUM(R34:R35)))</f>
        <v>1136</v>
      </c>
      <c r="S31" s="118">
        <f>ROUND(R31,0)</f>
        <v>1136</v>
      </c>
      <c r="T31" s="73"/>
      <c r="U31" s="73"/>
      <c r="V31" s="95"/>
      <c r="X31" s="95"/>
      <c r="Z31" s="142">
        <f>IF(Z19="Hours",VLOOKUP(Z16,BB:BC,2),IF(Z19="Days",VLOOKUP(Z16,BB:BD,3,0)))</f>
        <v>277.2</v>
      </c>
      <c r="AA31" s="142">
        <f>Z31*Z18*Z20</f>
        <v>277.2</v>
      </c>
      <c r="AB31" s="120"/>
      <c r="AC31" s="120"/>
      <c r="AD31" s="87"/>
      <c r="AP31" s="77"/>
      <c r="AQ31" s="77"/>
      <c r="AR31" s="77"/>
      <c r="AS31" s="77"/>
      <c r="AT31" s="77"/>
      <c r="AU31" s="77"/>
      <c r="AV31" s="77"/>
      <c r="AY31" s="71" t="s">
        <v>118</v>
      </c>
      <c r="AZ31" s="11">
        <v>0.1</v>
      </c>
      <c r="BA31" s="11" t="s">
        <v>6</v>
      </c>
    </row>
    <row r="32" spans="1:56" s="71" customFormat="1" ht="17.100000000000001" customHeight="1">
      <c r="A32" s="87"/>
      <c r="C32" s="143"/>
      <c r="D32" s="144"/>
      <c r="E32" s="145"/>
      <c r="F32" s="73"/>
      <c r="G32" s="73"/>
      <c r="H32" s="109"/>
      <c r="I32" s="146" t="s">
        <v>110</v>
      </c>
      <c r="J32" s="13">
        <f>IFERROR(K32/SUM(K34:K35),0)</f>
        <v>0.27290322580645171</v>
      </c>
      <c r="K32" s="128">
        <f>SUM(K34:K35)-SUM(K30:K31)</f>
        <v>253.80000000000007</v>
      </c>
      <c r="L32" s="118">
        <f>ROUND(K32,0)</f>
        <v>254</v>
      </c>
      <c r="M32" s="118"/>
      <c r="N32" s="118"/>
      <c r="O32" s="110"/>
      <c r="P32" s="146" t="s">
        <v>110</v>
      </c>
      <c r="Q32" s="13">
        <f>IFERROR(R32/SUM(R34:R35),0)</f>
        <v>0.27193579956938729</v>
      </c>
      <c r="R32" s="128">
        <f>SUM(R34:R35)-SUM(R30:R31)</f>
        <v>534.35384615384601</v>
      </c>
      <c r="S32" s="118">
        <f>ROUND(R32,0)</f>
        <v>534</v>
      </c>
      <c r="T32" s="118"/>
      <c r="U32" s="73"/>
      <c r="V32" s="95"/>
      <c r="X32" s="95"/>
      <c r="Y32" s="71" t="s">
        <v>119</v>
      </c>
      <c r="Z32" s="436" t="str">
        <f>IFERROR(IF(AA22&gt;AA31,"NO","YES"),0)</f>
        <v>YES</v>
      </c>
      <c r="AA32" s="437"/>
      <c r="AB32" s="120"/>
      <c r="AC32" s="120"/>
      <c r="AD32" s="87"/>
      <c r="AP32" s="77"/>
      <c r="AQ32" s="77"/>
      <c r="AR32" s="77"/>
      <c r="AS32" s="77"/>
      <c r="AT32" s="77"/>
      <c r="AU32" s="77"/>
      <c r="AV32" s="77"/>
      <c r="AY32" s="71" t="s">
        <v>120</v>
      </c>
      <c r="AZ32" s="11">
        <v>0.12</v>
      </c>
      <c r="BA32" s="11" t="s">
        <v>6</v>
      </c>
    </row>
    <row r="33" spans="1:53" s="71" customFormat="1" ht="17.100000000000001" customHeight="1">
      <c r="A33" s="87"/>
      <c r="C33" s="410" t="str">
        <f>IF(C23="Oliver Jaques","DON’T FORGET PARKING STICKY NOTE FOR CUSTOMER NOTES","")</f>
        <v>DON’T FORGET PARKING STICKY NOTE FOR CUSTOMER NOTES</v>
      </c>
      <c r="E33" s="73"/>
      <c r="F33" s="73"/>
      <c r="G33" s="73"/>
      <c r="H33" s="109"/>
      <c r="I33" s="140"/>
      <c r="J33" s="13"/>
      <c r="K33" s="128"/>
      <c r="L33" s="118"/>
      <c r="M33" s="118"/>
      <c r="N33" s="118"/>
      <c r="O33" s="110"/>
      <c r="P33" s="140"/>
      <c r="Q33" s="13"/>
      <c r="R33" s="128"/>
      <c r="S33" s="118"/>
      <c r="T33" s="118"/>
      <c r="U33" s="73"/>
      <c r="V33" s="95"/>
      <c r="X33" s="95"/>
      <c r="Z33" s="72"/>
      <c r="AB33" s="120"/>
      <c r="AC33" s="120"/>
      <c r="AD33" s="87"/>
      <c r="AP33" s="77"/>
      <c r="AQ33" s="77"/>
      <c r="AR33" s="77"/>
      <c r="AS33" s="77"/>
      <c r="AT33" s="77"/>
      <c r="AU33" s="77"/>
      <c r="AV33" s="77"/>
      <c r="AY33" s="71" t="s">
        <v>121</v>
      </c>
      <c r="AZ33" s="11">
        <v>0.1</v>
      </c>
      <c r="BA33" s="11"/>
    </row>
    <row r="34" spans="1:53" s="71" customFormat="1" ht="17.100000000000001" customHeight="1">
      <c r="A34" s="87"/>
      <c r="C34" s="147" t="s">
        <v>122</v>
      </c>
      <c r="D34" s="112"/>
      <c r="E34" s="73"/>
      <c r="F34" s="73"/>
      <c r="G34" s="73"/>
      <c r="H34" s="109"/>
      <c r="I34" s="133" t="s">
        <v>113</v>
      </c>
      <c r="J34" s="134" t="s">
        <v>114</v>
      </c>
      <c r="K34" s="135">
        <f>MROUND(M23*IF(OR(ISNUMBER(SEARCH("Oliver Jaques",I27)),ISNUMBER(SEARCH("OIG",I27))),1.1,1),5)</f>
        <v>440</v>
      </c>
      <c r="L34" s="73"/>
      <c r="M34" s="73"/>
      <c r="N34" s="73"/>
      <c r="O34" s="110"/>
      <c r="P34" s="133" t="s">
        <v>113</v>
      </c>
      <c r="Q34" s="134" t="s">
        <v>114</v>
      </c>
      <c r="R34" s="135">
        <f>MROUND(T23*IF(OR(ISNUMBER(SEARCH("Oliver Jaques",P27)),ISNUMBER(SEARCH("OIG",P27))),1.1,1),5)</f>
        <v>405</v>
      </c>
      <c r="S34" s="73"/>
      <c r="T34" s="73"/>
      <c r="U34" s="73"/>
      <c r="V34" s="95"/>
      <c r="X34" s="95"/>
      <c r="Y34" s="131" t="s">
        <v>104</v>
      </c>
      <c r="Z34" s="125"/>
      <c r="AA34" s="148"/>
      <c r="AB34" s="73"/>
      <c r="AC34" s="73"/>
      <c r="AD34" s="87"/>
      <c r="AP34" s="77"/>
      <c r="AQ34" s="77"/>
      <c r="AR34" s="77"/>
      <c r="AS34" s="77"/>
      <c r="AT34" s="77"/>
      <c r="AU34" s="77"/>
      <c r="AV34" s="77"/>
      <c r="AY34" s="71" t="s">
        <v>123</v>
      </c>
      <c r="AZ34" s="11">
        <v>0.12</v>
      </c>
      <c r="BA34" s="11"/>
    </row>
    <row r="35" spans="1:53" s="71" customFormat="1" ht="17.100000000000001" customHeight="1">
      <c r="A35" s="87"/>
      <c r="C35" s="124" t="s">
        <v>124</v>
      </c>
      <c r="D35" s="125"/>
      <c r="E35" s="126"/>
      <c r="F35" s="73"/>
      <c r="G35" s="73"/>
      <c r="H35" s="109"/>
      <c r="I35" s="140"/>
      <c r="J35" s="141" t="s">
        <v>117</v>
      </c>
      <c r="K35" s="135">
        <f>MROUND(M25*IF(OR(ISNUMBER(SEARCH("Oliver Jaques",I27)),ISNUMBER(SEARCH("OIG",I27))),1.1,1),5)</f>
        <v>490</v>
      </c>
      <c r="L35" s="136"/>
      <c r="M35" s="136"/>
      <c r="N35" s="136"/>
      <c r="O35" s="110"/>
      <c r="P35" s="140"/>
      <c r="Q35" s="141" t="s">
        <v>117</v>
      </c>
      <c r="R35" s="135">
        <f>MROUND(T25*IF(ISNUMBER(SEARCH("Oliver Jaques",P27))+ISNUMBER(SEARCH("OIG",P27)),1.1,1),5)</f>
        <v>1560</v>
      </c>
      <c r="S35" s="136"/>
      <c r="T35" s="136"/>
      <c r="U35" s="73"/>
      <c r="V35" s="95"/>
      <c r="X35" s="95"/>
      <c r="Y35" s="127" t="s">
        <v>106</v>
      </c>
      <c r="Z35" s="72"/>
      <c r="AA35" s="149">
        <f>SUM(AA22:AA26)-SUM(AA23:AA25)+(AA27*(AA39/SUM(AA39:AA40)))</f>
        <v>104.61538461538461</v>
      </c>
      <c r="AB35" s="118">
        <f>ROUND(AA35,0)</f>
        <v>105</v>
      </c>
      <c r="AC35" s="73"/>
      <c r="AD35" s="87"/>
      <c r="AP35" s="77"/>
      <c r="AQ35" s="77"/>
      <c r="AR35" s="77"/>
      <c r="AS35" s="77"/>
      <c r="AT35" s="77"/>
      <c r="AU35" s="77"/>
      <c r="AV35" s="77"/>
      <c r="AY35" s="71" t="s">
        <v>125</v>
      </c>
      <c r="AZ35" s="11">
        <v>0.1</v>
      </c>
      <c r="BA35" s="11"/>
    </row>
    <row r="36" spans="1:53" s="71" customFormat="1" ht="17.100000000000001" customHeight="1">
      <c r="A36" s="87"/>
      <c r="C36" s="414" t="str">
        <f>IF(E13="Roof Investigation","IMPORTANT INFO: Roof Invest. Book 2 engineers for 1.5hrs with 1 senior",IF(E13="Leak Investigation","IMPORTANT INFO: MUST BE BOOKED FOR 1.5 HOURS",IF(E13="Fire Certificate","IMPORTANT INFO: Fire Cert - MUST be ALEX to certify the fire door installation","IMPORTANT INFO:")))</f>
        <v>IMPORTANT INFO:</v>
      </c>
      <c r="D36" s="415"/>
      <c r="E36" s="416"/>
      <c r="F36" s="118"/>
      <c r="G36" s="73"/>
      <c r="H36" s="109"/>
      <c r="I36" s="151"/>
      <c r="J36" s="144"/>
      <c r="K36" s="145"/>
      <c r="L36" s="73"/>
      <c r="M36" s="73"/>
      <c r="N36" s="73"/>
      <c r="O36" s="110"/>
      <c r="P36" s="151"/>
      <c r="Q36" s="144"/>
      <c r="R36" s="145"/>
      <c r="S36" s="73"/>
      <c r="T36" s="73"/>
      <c r="U36" s="73"/>
      <c r="V36" s="95"/>
      <c r="X36" s="95"/>
      <c r="Y36" s="127" t="s">
        <v>108</v>
      </c>
      <c r="AA36" s="149">
        <f>SUM(AA23:AA25)+(AA27*(AA40/SUM(AA39:AA40)))</f>
        <v>0</v>
      </c>
      <c r="AB36" s="118">
        <f>ROUND(AA36,0)</f>
        <v>0</v>
      </c>
      <c r="AC36" s="73"/>
      <c r="AD36" s="87"/>
      <c r="AR36" s="77"/>
      <c r="AS36" s="77"/>
      <c r="AT36" s="77"/>
      <c r="AU36" s="77"/>
      <c r="AV36" s="77"/>
      <c r="AY36" s="71" t="s">
        <v>126</v>
      </c>
      <c r="AZ36" s="11">
        <v>0.1</v>
      </c>
      <c r="BA36" s="11"/>
    </row>
    <row r="37" spans="1:53" s="71" customFormat="1" ht="17.100000000000001" customHeight="1">
      <c r="A37" s="88"/>
      <c r="B37" s="73"/>
      <c r="C37" s="417" t="str">
        <f>C23&amp;" Comms @ "&amp;F22&amp;"%"</f>
        <v>Oliver Jaques Comms @ 0%</v>
      </c>
      <c r="D37" s="418"/>
      <c r="E37" s="419"/>
      <c r="F37" s="73"/>
      <c r="G37" s="73"/>
      <c r="H37" s="110"/>
      <c r="I37" s="410" t="str">
        <f>IF(I27="Oliver Jaques","DON’T FORGET PARKING STICKY NOTE FOR CUSTOMER NOTES","")</f>
        <v>DON’T FORGET PARKING STICKY NOTE FOR CUSTOMER NOTES</v>
      </c>
      <c r="J37" s="115"/>
      <c r="K37" s="118"/>
      <c r="L37" s="118"/>
      <c r="M37" s="73"/>
      <c r="N37" s="73"/>
      <c r="O37" s="110"/>
      <c r="P37" s="410" t="str">
        <f>IF(P27="Oliver Jaques","DON’T FORGET PARKING STICKY NOTE FOR CUSTOMER NOTES","")</f>
        <v>DON’T FORGET PARKING STICKY NOTE FOR CUSTOMER NOTES</v>
      </c>
      <c r="Q37" s="115"/>
      <c r="R37" s="118"/>
      <c r="S37" s="118"/>
      <c r="T37" s="73"/>
      <c r="U37" s="73"/>
      <c r="V37" s="95"/>
      <c r="X37" s="95"/>
      <c r="Y37" s="140" t="s">
        <v>110</v>
      </c>
      <c r="Z37" s="13">
        <f>IFERROR(AA37/SUM(AA39:AA40),0)</f>
        <v>0.27851458885941643</v>
      </c>
      <c r="AA37" s="149">
        <f>SUM(AA39:AA40)-SUM(AA35:AA36)</f>
        <v>40.384615384615387</v>
      </c>
      <c r="AB37" s="118">
        <f>ROUND(AA37,0)</f>
        <v>40</v>
      </c>
      <c r="AC37" s="73"/>
      <c r="AD37" s="87"/>
      <c r="AR37" s="77"/>
      <c r="AS37" s="77"/>
      <c r="AT37" s="77"/>
      <c r="AU37" s="77"/>
      <c r="AV37" s="77"/>
      <c r="AY37" s="71" t="s">
        <v>127</v>
      </c>
      <c r="AZ37" s="11">
        <v>0.1</v>
      </c>
      <c r="BA37" s="11"/>
    </row>
    <row r="38" spans="1:53" s="71" customFormat="1" ht="17.100000000000001" customHeight="1">
      <c r="A38" s="88"/>
      <c r="C38" s="140" t="s">
        <v>128</v>
      </c>
      <c r="E38" s="152"/>
      <c r="H38" s="110"/>
      <c r="I38" s="147" t="s">
        <v>122</v>
      </c>
      <c r="J38" s="112"/>
      <c r="K38" s="73"/>
      <c r="L38" s="73"/>
      <c r="M38" s="73"/>
      <c r="N38" s="73"/>
      <c r="O38" s="110"/>
      <c r="P38" s="147" t="s">
        <v>122</v>
      </c>
      <c r="Q38" s="112"/>
      <c r="R38" s="73"/>
      <c r="S38" s="73"/>
      <c r="T38" s="73"/>
      <c r="U38" s="73"/>
      <c r="V38" s="95"/>
      <c r="X38" s="95"/>
      <c r="Y38" s="140"/>
      <c r="Z38" s="13"/>
      <c r="AA38" s="149"/>
      <c r="AB38" s="52">
        <f>Z37*100</f>
        <v>27.851458885941643</v>
      </c>
      <c r="AC38" s="153">
        <f>ROUND(AB38,0)</f>
        <v>28</v>
      </c>
      <c r="AD38" s="87"/>
      <c r="AR38" s="77"/>
      <c r="AS38" s="77"/>
      <c r="AT38" s="77"/>
      <c r="AU38" s="77"/>
      <c r="AV38" s="77"/>
      <c r="AY38" s="71" t="s">
        <v>129</v>
      </c>
      <c r="AZ38" s="11">
        <v>0.15</v>
      </c>
      <c r="BA38" s="11"/>
    </row>
    <row r="39" spans="1:53" s="71" customFormat="1" ht="17.100000000000001" customHeight="1">
      <c r="A39" s="88"/>
      <c r="B39" s="73"/>
      <c r="C39" s="137" t="s">
        <v>130</v>
      </c>
      <c r="D39" s="115"/>
      <c r="E39" s="150"/>
      <c r="F39" s="73"/>
      <c r="G39" s="73"/>
      <c r="H39" s="110"/>
      <c r="I39" s="131" t="s">
        <v>124</v>
      </c>
      <c r="J39" s="132"/>
      <c r="K39" s="126"/>
      <c r="L39" s="73"/>
      <c r="M39" s="73"/>
      <c r="N39" s="73"/>
      <c r="O39" s="110"/>
      <c r="P39" s="131" t="s">
        <v>124</v>
      </c>
      <c r="Q39" s="132"/>
      <c r="R39" s="126"/>
      <c r="S39" s="73"/>
      <c r="T39" s="73"/>
      <c r="U39" s="73"/>
      <c r="V39" s="95"/>
      <c r="X39" s="95"/>
      <c r="Y39" s="133" t="s">
        <v>113</v>
      </c>
      <c r="Z39" s="134" t="s">
        <v>114</v>
      </c>
      <c r="AA39" s="135">
        <f>MROUND(AC26*IF(ISNUMBER(SEARCH("oliver jaques",Y28))+ISNUMBER(SEARCH("OIG",Y28)),1.1,1),5)</f>
        <v>145</v>
      </c>
      <c r="AB39" s="154"/>
      <c r="AC39" s="154"/>
      <c r="AD39" s="87"/>
      <c r="AR39" s="77"/>
      <c r="AS39" s="77"/>
      <c r="AT39" s="77"/>
      <c r="AU39" s="77"/>
      <c r="AV39" s="77"/>
      <c r="AY39" s="71" t="s">
        <v>131</v>
      </c>
      <c r="AZ39" s="11">
        <v>0.15</v>
      </c>
      <c r="BA39" s="11"/>
    </row>
    <row r="40" spans="1:53" s="71" customFormat="1" ht="17.100000000000001" customHeight="1">
      <c r="A40" s="88"/>
      <c r="B40" s="73"/>
      <c r="C40" s="137" t="s">
        <v>132</v>
      </c>
      <c r="D40" s="115"/>
      <c r="E40" s="150"/>
      <c r="F40" s="73"/>
      <c r="G40" s="73"/>
      <c r="H40" s="110"/>
      <c r="I40" s="146" t="s">
        <v>133</v>
      </c>
      <c r="J40" s="73"/>
      <c r="K40" s="150"/>
      <c r="L40" s="73"/>
      <c r="M40" s="73"/>
      <c r="N40" s="73"/>
      <c r="O40" s="110"/>
      <c r="P40" s="146" t="s">
        <v>133</v>
      </c>
      <c r="Q40" s="73"/>
      <c r="R40" s="150"/>
      <c r="S40" s="73"/>
      <c r="T40" s="73"/>
      <c r="U40" s="73"/>
      <c r="V40" s="95"/>
      <c r="X40" s="95"/>
      <c r="Y40" s="140"/>
      <c r="Z40" s="141" t="s">
        <v>117</v>
      </c>
      <c r="AA40" s="135">
        <f>MROUND(IF(Z19="Select Hours or Days","ERROR",AC28)*IF(ISNUMBER(SEARCH("oliver jaques",Y28))+ISNUMBER(SEARCH("OIG",Y28)),1.1,1),5)</f>
        <v>0</v>
      </c>
      <c r="AB40" s="73"/>
      <c r="AC40" s="73"/>
      <c r="AD40" s="87"/>
      <c r="AR40" s="77"/>
      <c r="AS40" s="77"/>
      <c r="AT40" s="77"/>
      <c r="AU40" s="77"/>
      <c r="AV40" s="77"/>
      <c r="AY40" s="71" t="s">
        <v>134</v>
      </c>
      <c r="AZ40" s="11">
        <v>0</v>
      </c>
      <c r="BA40" s="11"/>
    </row>
    <row r="41" spans="1:53" s="71" customFormat="1" ht="17.100000000000001" customHeight="1">
      <c r="A41" s="88"/>
      <c r="B41" s="73"/>
      <c r="C41" s="137" t="s">
        <v>135</v>
      </c>
      <c r="D41" s="115"/>
      <c r="E41" s="150" t="s">
        <v>136</v>
      </c>
      <c r="F41" s="73"/>
      <c r="G41" s="73"/>
      <c r="H41" s="110"/>
      <c r="I41" s="146" t="str">
        <f>I27&amp;" Comms @ "&amp;L26&amp;"%"</f>
        <v>Oliver Jaques Comms @ 0%</v>
      </c>
      <c r="J41" s="73"/>
      <c r="K41" s="150"/>
      <c r="L41" s="73"/>
      <c r="M41" s="73"/>
      <c r="N41" s="73"/>
      <c r="O41" s="110"/>
      <c r="P41" s="146" t="str">
        <f>P27&amp;" Comms @ "&amp;S26&amp;"%"</f>
        <v>Oliver Jaques Comms @ 0%</v>
      </c>
      <c r="Q41" s="73"/>
      <c r="R41" s="150"/>
      <c r="S41" s="73"/>
      <c r="T41" s="73"/>
      <c r="U41" s="73"/>
      <c r="V41" s="95"/>
      <c r="X41" s="95"/>
      <c r="Y41" s="151"/>
      <c r="Z41" s="144"/>
      <c r="AA41" s="155"/>
      <c r="AB41" s="154"/>
      <c r="AC41" s="154"/>
      <c r="AD41" s="87"/>
      <c r="AR41" s="77"/>
      <c r="AS41" s="77"/>
      <c r="AT41" s="77"/>
      <c r="AU41" s="77"/>
      <c r="AV41" s="77"/>
      <c r="AY41" s="71" t="s">
        <v>137</v>
      </c>
      <c r="AZ41" s="11">
        <v>0</v>
      </c>
      <c r="BA41" s="11" t="s">
        <v>6</v>
      </c>
    </row>
    <row r="42" spans="1:53" s="71" customFormat="1" ht="17.100000000000001" customHeight="1">
      <c r="A42" s="88"/>
      <c r="B42" s="73"/>
      <c r="C42" s="407" t="str">
        <f>E15&amp;"  "&amp;E13&amp;"  for  "&amp;E16&amp;"  Hour/s"</f>
        <v>1  Multi-trader  for  2  Hour/s</v>
      </c>
      <c r="D42" s="409"/>
      <c r="E42" s="408"/>
      <c r="F42" s="73"/>
      <c r="G42" s="73"/>
      <c r="H42" s="110"/>
      <c r="I42" s="146" t="s">
        <v>138</v>
      </c>
      <c r="J42" s="73"/>
      <c r="K42" s="150"/>
      <c r="L42" s="73"/>
      <c r="M42" s="73"/>
      <c r="N42" s="73"/>
      <c r="O42" s="110"/>
      <c r="P42" s="146" t="s">
        <v>139</v>
      </c>
      <c r="Q42" s="73"/>
      <c r="R42" s="150"/>
      <c r="S42" s="73"/>
      <c r="T42" s="73"/>
      <c r="U42" s="73"/>
      <c r="V42" s="95"/>
      <c r="X42" s="95"/>
      <c r="Y42" s="410" t="str">
        <f>IF(Y28="Oliver Jaques","DON’T FORGET PARKING STICKY NOTE FOR CUSTOMER NOTES","")</f>
        <v>DON’T FORGET PARKING STICKY NOTE FOR CUSTOMER NOTES</v>
      </c>
      <c r="AB42" s="154"/>
      <c r="AC42" s="154"/>
      <c r="AD42" s="87"/>
      <c r="AR42" s="77"/>
      <c r="AS42" s="77"/>
      <c r="AT42" s="77"/>
      <c r="AU42" s="77"/>
      <c r="AV42" s="77"/>
      <c r="AY42" s="71" t="s">
        <v>140</v>
      </c>
      <c r="AZ42" s="11">
        <v>0.25</v>
      </c>
      <c r="BA42" s="11" t="s">
        <v>6</v>
      </c>
    </row>
    <row r="43" spans="1:53" s="71" customFormat="1" ht="17.100000000000001" customHeight="1">
      <c r="A43" s="88"/>
      <c r="B43" s="73"/>
      <c r="C43" s="137"/>
      <c r="D43" s="115"/>
      <c r="E43" s="150"/>
      <c r="F43" s="73"/>
      <c r="G43" s="73"/>
      <c r="H43" s="110"/>
      <c r="I43" s="146" t="s">
        <v>130</v>
      </c>
      <c r="J43" s="73"/>
      <c r="K43" s="150"/>
      <c r="L43" s="73"/>
      <c r="M43" s="73"/>
      <c r="N43" s="73"/>
      <c r="O43" s="110"/>
      <c r="P43" s="146" t="s">
        <v>130</v>
      </c>
      <c r="Q43" s="73"/>
      <c r="R43" s="150"/>
      <c r="S43" s="73"/>
      <c r="T43" s="73"/>
      <c r="U43" s="73"/>
      <c r="V43" s="95"/>
      <c r="X43" s="95"/>
      <c r="Y43" s="147" t="s">
        <v>122</v>
      </c>
      <c r="Z43" s="112"/>
      <c r="AB43" s="154"/>
      <c r="AC43" s="154"/>
      <c r="AD43" s="88"/>
      <c r="AE43" s="73"/>
      <c r="AF43" s="73"/>
      <c r="AG43" s="73"/>
      <c r="AR43" s="77"/>
      <c r="AS43" s="77"/>
      <c r="AT43" s="77"/>
      <c r="AU43" s="77"/>
      <c r="AV43" s="77"/>
      <c r="AY43" s="71" t="s">
        <v>141</v>
      </c>
      <c r="AZ43" s="54">
        <v>0.14399999999999999</v>
      </c>
      <c r="BA43" s="11"/>
    </row>
    <row r="44" spans="1:53" s="71" customFormat="1" ht="17.100000000000001" customHeight="1">
      <c r="A44" s="88"/>
      <c r="B44" s="73"/>
      <c r="C44" s="137" t="str">
        <f>"BUDGET: Materials:  £"&amp;E20&amp;" / Parking: £"&amp;E18&amp;" / CC: £"&amp;E19&amp;"  / OH:  £"&amp;ROUND(E21,0)</f>
        <v>BUDGET: Materials:  £zz / Parking: £0 / CC: £0  / OH:  £57</v>
      </c>
      <c r="D44" s="115"/>
      <c r="E44" s="150"/>
      <c r="F44" s="73"/>
      <c r="G44" s="73"/>
      <c r="H44" s="110"/>
      <c r="I44" s="146" t="s">
        <v>132</v>
      </c>
      <c r="J44" s="73"/>
      <c r="K44" s="150"/>
      <c r="L44" s="73"/>
      <c r="M44" s="73"/>
      <c r="N44" s="73"/>
      <c r="O44" s="110"/>
      <c r="P44" s="146" t="s">
        <v>132</v>
      </c>
      <c r="Q44" s="73"/>
      <c r="R44" s="150"/>
      <c r="S44" s="73"/>
      <c r="T44" s="73"/>
      <c r="U44" s="73"/>
      <c r="V44" s="95"/>
      <c r="X44" s="95"/>
      <c r="Y44" s="131" t="s">
        <v>124</v>
      </c>
      <c r="Z44" s="125"/>
      <c r="AA44" s="148"/>
      <c r="AB44" s="154"/>
      <c r="AC44" s="154"/>
      <c r="AD44" s="88"/>
      <c r="AE44" s="73"/>
      <c r="AF44" s="73"/>
      <c r="AG44" s="73"/>
      <c r="AR44" s="77"/>
      <c r="AS44" s="77"/>
      <c r="AT44" s="77"/>
      <c r="AU44" s="77"/>
      <c r="AV44" s="77"/>
      <c r="AY44" s="71" t="s">
        <v>142</v>
      </c>
      <c r="AZ44" s="54">
        <v>0.14399999999999999</v>
      </c>
      <c r="BA44" s="11"/>
    </row>
    <row r="45" spans="1:53" s="71" customFormat="1" ht="17.100000000000001" customHeight="1">
      <c r="A45" s="88"/>
      <c r="B45" s="73"/>
      <c r="C45" s="137" t="str">
        <f>"TOTAL COST TO OPTIMAL:  Labour etc:  £"&amp;F26&amp;"  /  Materials etc:  £"&amp;F27</f>
        <v>TOTAL COST TO OPTIMAL:  Labour etc:  £58  /  Materials etc:  £0</v>
      </c>
      <c r="D45" s="115"/>
      <c r="E45" s="150"/>
      <c r="F45" s="73"/>
      <c r="G45" s="73"/>
      <c r="H45" s="110"/>
      <c r="I45" s="146" t="s">
        <v>135</v>
      </c>
      <c r="J45" s="73"/>
      <c r="K45" s="150"/>
      <c r="L45" s="73"/>
      <c r="M45" s="73"/>
      <c r="N45" s="73"/>
      <c r="O45" s="110"/>
      <c r="P45" s="146" t="s">
        <v>135</v>
      </c>
      <c r="Q45" s="73"/>
      <c r="R45" s="150"/>
      <c r="S45" s="73"/>
      <c r="T45" s="73"/>
      <c r="U45" s="73"/>
      <c r="V45" s="95"/>
      <c r="X45" s="95"/>
      <c r="Y45" s="156" t="str">
        <f>"SUBBY CALCULATOR with O/H @ "&amp;AC19&amp;"%"</f>
        <v>SUBBY CALCULATOR with O/H @ 20%</v>
      </c>
      <c r="Z45" s="72"/>
      <c r="AA45" s="152"/>
      <c r="AB45" s="154"/>
      <c r="AC45" s="154"/>
      <c r="AD45" s="88"/>
      <c r="AE45" s="73"/>
      <c r="AF45" s="73"/>
      <c r="AG45" s="73"/>
      <c r="AP45" s="77"/>
      <c r="AQ45" s="77"/>
      <c r="AR45" s="77"/>
      <c r="AS45" s="77"/>
      <c r="AT45" s="77"/>
      <c r="AU45" s="77"/>
      <c r="AV45" s="77"/>
      <c r="AY45" s="71" t="s">
        <v>143</v>
      </c>
      <c r="AZ45" s="11">
        <v>0.1</v>
      </c>
      <c r="BA45" s="11"/>
    </row>
    <row r="46" spans="1:53" s="71" customFormat="1" ht="17.100000000000001" customHeight="1">
      <c r="A46" s="88"/>
      <c r="B46" s="73"/>
      <c r="C46" s="137" t="str">
        <f>"TOTAL CHARGE TO CLIENT:  Labour:  £"&amp;E30&amp;"  / Materials etc:  £"&amp;E31</f>
        <v>TOTAL CHARGE TO CLIENT:  Labour:  £210  / Materials etc:  £0</v>
      </c>
      <c r="D46" s="115"/>
      <c r="E46" s="150"/>
      <c r="F46" s="73"/>
      <c r="G46" s="73"/>
      <c r="H46" s="110"/>
      <c r="I46" s="137" t="str">
        <f>IF(K19="",K16&amp;"  "&amp;K13&amp;"  for  "&amp;K17&amp;"  Day/s",K16&amp;"  "&amp;K13&amp;"  for  "&amp;K17&amp;"  Day/s  +  "&amp;K19&amp;"  labourer  for  "&amp;K20&amp;" day/s")</f>
        <v>1  Multi-trader  for  1  Day/s  +  0  labourer  for  0 day/s</v>
      </c>
      <c r="J46" s="115"/>
      <c r="K46" s="150"/>
      <c r="L46" s="73"/>
      <c r="M46" s="73"/>
      <c r="N46" s="73"/>
      <c r="O46" s="110"/>
      <c r="P46" s="137" t="str">
        <f>IF(R19="",R16&amp;"  "&amp;R13&amp;"  for  "&amp;R17&amp;"  Day/s",R16&amp;"  "&amp;R13&amp;"  for  "&amp;R17&amp;"  Day/s  +  "&amp;R19&amp;"  labourer  for  "&amp;R20&amp;" day/s")</f>
        <v>1  Multi-trader  for  1  Day/s  +  0  labourer  for  0 day/s</v>
      </c>
      <c r="Q46" s="115"/>
      <c r="R46" s="150"/>
      <c r="S46" s="73"/>
      <c r="T46" s="73"/>
      <c r="U46" s="73"/>
      <c r="V46" s="95"/>
      <c r="X46" s="95"/>
      <c r="Y46" s="140" t="str">
        <f>Y28&amp;" Comms @ "&amp;AB29&amp;"%"</f>
        <v>Oliver Jaques Comms @ 0%</v>
      </c>
      <c r="AA46" s="152"/>
      <c r="AB46" s="73"/>
      <c r="AC46" s="73"/>
      <c r="AD46" s="88"/>
      <c r="AE46" s="73"/>
      <c r="AF46" s="73"/>
      <c r="AG46" s="73"/>
      <c r="AP46" s="77"/>
      <c r="AQ46" s="77"/>
      <c r="AR46" s="77"/>
      <c r="AS46" s="77"/>
      <c r="AT46" s="77"/>
      <c r="AU46" s="77"/>
      <c r="AV46" s="77"/>
      <c r="AY46" s="71" t="s">
        <v>144</v>
      </c>
      <c r="AZ46" s="11">
        <v>0.12</v>
      </c>
      <c r="BA46" s="11"/>
    </row>
    <row r="47" spans="1:53" s="71" customFormat="1" ht="17.100000000000001" customHeight="1">
      <c r="A47" s="88"/>
      <c r="B47" s="73"/>
      <c r="C47" s="137" t="str">
        <f>"PROFIT ON JOB:  £"&amp;F28&amp;" / "&amp;D60&amp;"%"</f>
        <v>PROFIT ON JOB:  £152 / 72%</v>
      </c>
      <c r="D47" s="115"/>
      <c r="E47" s="150"/>
      <c r="F47" s="73"/>
      <c r="G47" s="73"/>
      <c r="H47" s="110"/>
      <c r="I47" s="146"/>
      <c r="J47" s="115"/>
      <c r="K47" s="150"/>
      <c r="L47" s="73"/>
      <c r="M47" s="73"/>
      <c r="N47" s="73"/>
      <c r="O47" s="110"/>
      <c r="P47" s="146"/>
      <c r="Q47" s="115"/>
      <c r="R47" s="150"/>
      <c r="S47" s="73"/>
      <c r="T47" s="73"/>
      <c r="U47" s="73"/>
      <c r="V47" s="95"/>
      <c r="X47" s="95"/>
      <c r="Y47" s="140" t="s">
        <v>133</v>
      </c>
      <c r="AA47" s="152"/>
      <c r="AB47" s="154"/>
      <c r="AC47" s="154"/>
      <c r="AD47" s="88"/>
      <c r="AE47" s="73"/>
      <c r="AF47" s="73"/>
      <c r="AG47" s="73"/>
      <c r="AP47" s="77"/>
      <c r="AQ47" s="77"/>
      <c r="AR47" s="77"/>
      <c r="AS47" s="77"/>
      <c r="AT47" s="77"/>
      <c r="AU47" s="77"/>
      <c r="AV47" s="77"/>
      <c r="AY47" s="71" t="s">
        <v>145</v>
      </c>
      <c r="AZ47" s="11">
        <v>0.15</v>
      </c>
      <c r="BA47" s="11"/>
    </row>
    <row r="48" spans="1:53" s="71" customFormat="1" ht="17.100000000000001" customHeight="1">
      <c r="A48" s="88"/>
      <c r="B48" s="73"/>
      <c r="C48" s="137"/>
      <c r="D48" s="115"/>
      <c r="E48" s="150"/>
      <c r="F48" s="73"/>
      <c r="G48" s="73"/>
      <c r="H48" s="110"/>
      <c r="I48" s="137" t="str">
        <f>"BUDGET: Materials:  £"&amp;K24&amp;" / Parking: £"&amp;K22&amp;" / CC: £"&amp;K23&amp;"  / OH: £"&amp;ROUND(K25,0)</f>
        <v>BUDGET: Materials:  £292 / Parking: £65 / CC: £0  / OH: £80</v>
      </c>
      <c r="J48" s="115"/>
      <c r="K48" s="150"/>
      <c r="L48" s="73"/>
      <c r="M48" s="73"/>
      <c r="N48" s="73"/>
      <c r="O48" s="110"/>
      <c r="P48" s="137" t="str">
        <f>"BUDGET: Materials:  £"&amp;R24&amp;" / Parking: £"&amp;R22&amp;" / CC: £"&amp;R23&amp;"  / OH: £"&amp;ROUND(R25,0)</f>
        <v>BUDGET: Materials:  £1136 / Parking: £0 / CC: £0  / OH: £55</v>
      </c>
      <c r="Q48" s="115"/>
      <c r="R48" s="150"/>
      <c r="S48" s="73"/>
      <c r="T48" s="73"/>
      <c r="U48" s="73"/>
      <c r="V48" s="95"/>
      <c r="X48" s="95"/>
      <c r="Y48" s="140" t="s">
        <v>130</v>
      </c>
      <c r="AA48" s="152"/>
      <c r="AB48" s="154"/>
      <c r="AC48" s="154"/>
      <c r="AD48" s="88"/>
      <c r="AE48" s="73"/>
      <c r="AF48" s="73"/>
      <c r="AG48" s="73"/>
      <c r="AP48" s="77"/>
      <c r="AQ48" s="77"/>
      <c r="AR48" s="77"/>
      <c r="AS48" s="77"/>
      <c r="AT48" s="77"/>
      <c r="AU48" s="77"/>
      <c r="AV48" s="77"/>
      <c r="AY48" s="71" t="s">
        <v>146</v>
      </c>
      <c r="AZ48" s="11">
        <v>0.15</v>
      </c>
      <c r="BA48" s="11"/>
    </row>
    <row r="49" spans="1:53" s="71" customFormat="1" ht="17.100000000000001" customHeight="1">
      <c r="A49" s="88"/>
      <c r="B49" s="73"/>
      <c r="C49" s="157" t="s">
        <v>147</v>
      </c>
      <c r="D49" s="115"/>
      <c r="E49" s="150"/>
      <c r="F49" s="73"/>
      <c r="G49" s="73"/>
      <c r="H49" s="110"/>
      <c r="I49" s="137" t="str">
        <f>"TOTAL COST TO OPTIMAL:  Labour etc:  £"&amp;L30&amp;"  /  Materials etc:  £"&amp;L31</f>
        <v>TOTAL COST TO OPTIMAL:  Labour etc:  £319  /  Materials etc:  £357</v>
      </c>
      <c r="J49" s="115"/>
      <c r="K49" s="150"/>
      <c r="L49" s="73"/>
      <c r="M49" s="73"/>
      <c r="N49" s="73"/>
      <c r="O49" s="110"/>
      <c r="P49" s="137" t="str">
        <f>"TOTAL COST TO OPTIMAL:  Labour etc:  £"&amp;S30&amp;"  /  Materials etc:  £"&amp;S31</f>
        <v>TOTAL COST TO OPTIMAL:  Labour etc:  £295  /  Materials etc:  £1136</v>
      </c>
      <c r="Q49" s="115"/>
      <c r="R49" s="150"/>
      <c r="S49" s="73"/>
      <c r="T49" s="73"/>
      <c r="U49" s="73"/>
      <c r="V49" s="95"/>
      <c r="X49" s="95"/>
      <c r="Y49" s="140" t="str">
        <f>"SUBCONTRACTOR:  "&amp;Z14</f>
        <v>SUBCONTRACTOR:  Vantastic</v>
      </c>
      <c r="Z49" s="72"/>
      <c r="AA49" s="152"/>
      <c r="AB49" s="154"/>
      <c r="AC49" s="154"/>
      <c r="AD49" s="88"/>
      <c r="AE49" s="73"/>
      <c r="AF49" s="73"/>
      <c r="AG49" s="73"/>
      <c r="AP49" s="77"/>
      <c r="AQ49" s="77"/>
      <c r="AR49" s="77"/>
      <c r="AS49" s="77"/>
      <c r="AT49" s="77"/>
      <c r="AU49" s="77"/>
      <c r="AV49" s="77"/>
      <c r="AY49" s="71" t="s">
        <v>148</v>
      </c>
      <c r="AZ49" s="11">
        <v>0.05</v>
      </c>
      <c r="BA49" s="11" t="s">
        <v>6</v>
      </c>
    </row>
    <row r="50" spans="1:53" ht="17.100000000000001" customHeight="1">
      <c r="C50" s="146" t="str">
        <f>"Parking: £"&amp;E18&amp;" / CC: £"&amp;E19</f>
        <v>Parking: £0 / CC: £0</v>
      </c>
      <c r="E50" s="150"/>
      <c r="I50" s="137" t="str">
        <f>"TOTAL CHARGE TO CLIENT:  Labour:  £"&amp;K34&amp;"  / Materials etc:  £"&amp;K35</f>
        <v>TOTAL CHARGE TO CLIENT:  Labour:  £440  / Materials etc:  £490</v>
      </c>
      <c r="K50" s="150"/>
      <c r="P50" s="137" t="str">
        <f>"TOTAL CHARGE TO CLIENT:  Labour:  £"&amp;R34&amp;"  / Materials etc:  £"&amp;R35</f>
        <v>TOTAL CHARGE TO CLIENT:  Labour:  £405  / Materials etc:  £1560</v>
      </c>
      <c r="R50" s="150"/>
      <c r="X50" s="95"/>
      <c r="Y50" s="140" t="str">
        <f>"WHO WILL PROVIDE MATERIALS:  "&amp;AA30</f>
        <v>WHO WILL PROVIDE MATERIALS:  Subcontractor</v>
      </c>
      <c r="Z50" s="72"/>
      <c r="AA50" s="152"/>
      <c r="AB50" s="154"/>
      <c r="AC50" s="154"/>
      <c r="AP50" s="159"/>
      <c r="AQ50" s="159"/>
      <c r="AR50" s="159"/>
      <c r="AS50" s="159"/>
      <c r="AT50" s="159"/>
      <c r="AU50" s="159"/>
      <c r="AV50" s="159"/>
      <c r="AY50" s="71" t="s">
        <v>149</v>
      </c>
      <c r="AZ50" s="11">
        <v>0.12</v>
      </c>
      <c r="BA50" s="11"/>
    </row>
    <row r="51" spans="1:53" ht="17.100000000000001" customHeight="1">
      <c r="C51" s="137" t="str">
        <f>"Labour Only:  "&amp;"£"&amp;E61&amp;" @ £"&amp;D62&amp;"p/h"&amp;" = Profit: £"&amp;E63&amp;" / "&amp;F64&amp;"%"</f>
        <v>Labour Only:  £80 @ £40p/h = Profit: £73 / 35%</v>
      </c>
      <c r="D51" s="73"/>
      <c r="E51" s="150"/>
      <c r="I51" s="137" t="str">
        <f>"PROFIT ON JOB:  £"&amp;L32&amp;" / "&amp;J62&amp;"%"</f>
        <v>PROFIT ON JOB:  £254 / 27%</v>
      </c>
      <c r="K51" s="150"/>
      <c r="P51" s="137" t="str">
        <f>"PROFIT ON JOB:  £"&amp;S32&amp;" / "&amp;Q62&amp;"%"</f>
        <v>PROFIT ON JOB:  £534 / 27%</v>
      </c>
      <c r="R51" s="150"/>
      <c r="Y51" s="146" t="str">
        <f>"SUBCONTRACTOR CHARGE TO US:  "&amp;"£"&amp;IF(AA30="OPTIMAL",SUM(AA22:AA25)-AA23,SUM(AA22:AA25))&amp;"  /  Breakdown ⬇️"</f>
        <v>SUBCONTRACTOR CHARGE TO US:  £80  /  Breakdown ⬇️</v>
      </c>
      <c r="Z51" s="115"/>
      <c r="AA51" s="150"/>
      <c r="AB51" s="154"/>
      <c r="AC51" s="154"/>
      <c r="AP51" s="159"/>
      <c r="AQ51" s="159"/>
      <c r="AR51" s="159"/>
      <c r="AS51" s="159"/>
      <c r="AT51" s="159"/>
      <c r="AU51" s="159"/>
      <c r="AV51" s="159"/>
      <c r="AY51" s="71" t="s">
        <v>150</v>
      </c>
      <c r="AZ51" s="11">
        <v>0</v>
      </c>
      <c r="BA51" s="11"/>
    </row>
    <row r="52" spans="1:53" ht="17.100000000000001" customHeight="1">
      <c r="C52" s="137" t="e">
        <f>"Labour &amp; Materials:  "&amp;"£"&amp;E65&amp;" = Profit: £"&amp;E66&amp;" / "&amp;F67&amp;"%"</f>
        <v>#VALUE!</v>
      </c>
      <c r="D52" s="73"/>
      <c r="E52" s="150"/>
      <c r="I52" s="137"/>
      <c r="K52" s="150"/>
      <c r="P52" s="137"/>
      <c r="R52" s="150"/>
      <c r="Y52" s="146" t="str">
        <f>"Labour: £"&amp;AA22&amp;"  /  Materials: £"&amp;AA23&amp;"  /  Parking: £"&amp;AA24&amp;"  /  CC: £"&amp;AA25&amp;"  / OH: £"&amp;ROUND(AA26,0)</f>
        <v>Labour: £80  /  Materials: £0  /  Parking: £  /  CC: £0  / OH: £25</v>
      </c>
      <c r="Z52" s="115"/>
      <c r="AA52" s="150"/>
      <c r="AB52" s="154"/>
      <c r="AC52" s="154"/>
      <c r="AP52" s="159"/>
      <c r="AQ52" s="159"/>
      <c r="AR52" s="159"/>
      <c r="AS52" s="159"/>
      <c r="AT52" s="159"/>
      <c r="AU52" s="159"/>
      <c r="AV52" s="159"/>
      <c r="AY52" s="71" t="s">
        <v>151</v>
      </c>
      <c r="AZ52" s="11">
        <v>0.1</v>
      </c>
      <c r="BA52" s="11"/>
    </row>
    <row r="53" spans="1:53" ht="17.100000000000001" customHeight="1">
      <c r="C53" s="160"/>
      <c r="D53" s="161"/>
      <c r="E53" s="145"/>
      <c r="I53" s="157" t="s">
        <v>147</v>
      </c>
      <c r="K53" s="150"/>
      <c r="P53" s="157" t="s">
        <v>147</v>
      </c>
      <c r="R53" s="150"/>
      <c r="Y53" s="146" t="str">
        <f>Z18&amp;"  "&amp;Z16&amp;"  for  "&amp;Z20&amp;"  "&amp;Z19</f>
        <v>1  Electrician  for  1  Days</v>
      </c>
      <c r="Z53" s="115"/>
      <c r="AA53" s="150"/>
      <c r="AB53" s="154"/>
      <c r="AC53" s="8"/>
      <c r="AP53" s="159"/>
      <c r="AQ53" s="159"/>
      <c r="AR53" s="159"/>
      <c r="AS53" s="159"/>
      <c r="AT53" s="159"/>
      <c r="AU53" s="159"/>
      <c r="AV53" s="159"/>
      <c r="AY53" s="71" t="s">
        <v>152</v>
      </c>
      <c r="AZ53" s="11">
        <v>0.15</v>
      </c>
    </row>
    <row r="54" spans="1:53" ht="17.100000000000001" customHeight="1">
      <c r="C54" s="121">
        <f>VLOOKUP(C23,AY:BA,3,FALSE)</f>
        <v>0</v>
      </c>
      <c r="D54" s="122"/>
      <c r="E54" s="121"/>
      <c r="I54" s="146" t="str">
        <f>"Parking: £"&amp;K22&amp;" / CC: £"&amp;K23</f>
        <v>Parking: £65 / CC: £0</v>
      </c>
      <c r="K54" s="150"/>
      <c r="P54" s="146" t="str">
        <f>"Parking: £"&amp;R22&amp;" / CC: £"&amp;R23</f>
        <v>Parking: £0 / CC: £0</v>
      </c>
      <c r="R54" s="150"/>
      <c r="Y54" s="146"/>
      <c r="Z54" s="115"/>
      <c r="AA54" s="150"/>
      <c r="AP54" s="159"/>
      <c r="AQ54" s="159"/>
      <c r="AR54" s="159"/>
      <c r="AS54" s="159"/>
      <c r="AT54" s="159"/>
      <c r="AU54" s="159"/>
      <c r="AV54" s="159"/>
      <c r="AY54" s="71" t="s">
        <v>153</v>
      </c>
      <c r="AZ54" s="11">
        <v>0</v>
      </c>
    </row>
    <row r="55" spans="1:53" ht="17.100000000000001" customHeight="1">
      <c r="C55" s="164" t="str">
        <f>IF(C54="FIXFLO","DONT FORGET TO UPLOAD TO FIXFLO","")</f>
        <v/>
      </c>
      <c r="D55" s="164"/>
      <c r="E55" s="164"/>
      <c r="I55" s="137" t="str">
        <f>"Labour Only:  "&amp;"£"&amp;K63&amp;" = Profit: £"&amp;K64&amp;" / "&amp;M65&amp;"%"</f>
        <v>Labour Only:  £239 = Profit: £254 / 27%</v>
      </c>
      <c r="K55" s="150"/>
      <c r="P55" s="137" t="str">
        <f>"Labour Only:  "&amp;"£"&amp;R63&amp;" = Profit: £"&amp;R64&amp;" / "&amp;T65&amp;"%"</f>
        <v>Labour Only:  £239 = Profit: £534 / 27%</v>
      </c>
      <c r="R55" s="150"/>
      <c r="Y55" s="137" t="str">
        <f>"TOTAL COST TO OPTIMAL:  £"&amp;SUM(AB35:AB36)</f>
        <v>TOTAL COST TO OPTIMAL:  £105</v>
      </c>
      <c r="Z55" s="115"/>
      <c r="AA55" s="150"/>
      <c r="AP55" s="159"/>
      <c r="AQ55" s="159"/>
      <c r="AR55" s="159"/>
      <c r="AS55" s="159"/>
      <c r="AT55" s="159"/>
      <c r="AU55" s="159"/>
      <c r="AV55" s="159"/>
      <c r="AY55" s="73" t="s">
        <v>154</v>
      </c>
      <c r="AZ55" s="10">
        <v>0.125</v>
      </c>
    </row>
    <row r="56" spans="1:53" ht="17.100000000000001" customHeight="1">
      <c r="C56" s="164"/>
      <c r="D56" s="164"/>
      <c r="E56" s="164"/>
      <c r="I56" s="137" t="str">
        <f>"Labour &amp; Materials:  "&amp;"£"&amp;K66&amp;" = Profit: £"&amp;K67&amp;" / "&amp;M68&amp;"%"</f>
        <v>Labour &amp; Materials:  £531 = Profit: £254 / 27%</v>
      </c>
      <c r="K56" s="150"/>
      <c r="P56" s="137" t="str">
        <f>"Labour &amp; Materials:  "&amp;"£"&amp;R66&amp;" = Profit: £"&amp;R67&amp;" / "&amp;T68&amp;"%"</f>
        <v>Labour &amp; Materials:  £1375 = Profit: £534 / 27%</v>
      </c>
      <c r="R56" s="150"/>
      <c r="Y56" s="137" t="str">
        <f>"TOTAL CHARGE TO CLIENT:  £"&amp;SUM(AA39:AA40)</f>
        <v>TOTAL CHARGE TO CLIENT:  £145</v>
      </c>
      <c r="AA56" s="150"/>
      <c r="AP56" s="159"/>
      <c r="AQ56" s="159"/>
      <c r="AR56" s="159"/>
      <c r="AS56" s="159"/>
      <c r="AT56" s="159"/>
      <c r="AU56" s="159"/>
      <c r="AV56" s="159"/>
      <c r="AY56" s="73" t="s">
        <v>155</v>
      </c>
      <c r="AZ56" s="10">
        <v>0.15</v>
      </c>
    </row>
    <row r="57" spans="1:53" ht="17.100000000000001" customHeight="1">
      <c r="C57" s="121"/>
      <c r="D57" s="122"/>
      <c r="E57" s="121"/>
      <c r="I57" s="160"/>
      <c r="J57" s="161"/>
      <c r="K57" s="145"/>
      <c r="P57" s="160"/>
      <c r="Q57" s="161"/>
      <c r="R57" s="145"/>
      <c r="Y57" s="137" t="str">
        <f>"PROFIT ON JOB:  £"&amp;AB37&amp;" / "&amp;AC38&amp;"%"</f>
        <v>PROFIT ON JOB:  £40 / 28%</v>
      </c>
      <c r="Z57" s="115"/>
      <c r="AA57" s="150"/>
      <c r="AP57" s="159"/>
      <c r="AQ57" s="159"/>
      <c r="AR57" s="159"/>
      <c r="AS57" s="159"/>
      <c r="AT57" s="159"/>
      <c r="AU57" s="159"/>
      <c r="AV57" s="159"/>
      <c r="AY57" s="73" t="s">
        <v>156</v>
      </c>
      <c r="AZ57" s="10">
        <v>0.1</v>
      </c>
    </row>
    <row r="58" spans="1:53" ht="17.100000000000001" customHeight="1">
      <c r="C58" s="121"/>
      <c r="D58" s="122"/>
      <c r="E58" s="121"/>
      <c r="I58" s="121">
        <f>VLOOKUP(I27,AY:BA,3,FALSE)</f>
        <v>0</v>
      </c>
      <c r="J58" s="122"/>
      <c r="K58" s="121"/>
      <c r="P58" s="121">
        <f>VLOOKUP(P27,AY:BA,3,FALSE)</f>
        <v>0</v>
      </c>
      <c r="Q58" s="122"/>
      <c r="R58" s="121"/>
      <c r="Y58" s="160"/>
      <c r="Z58" s="161"/>
      <c r="AA58" s="145"/>
      <c r="AB58" s="8"/>
      <c r="AP58" s="159"/>
      <c r="AQ58" s="159"/>
      <c r="AR58" s="159"/>
      <c r="AS58" s="159"/>
      <c r="AT58" s="159"/>
      <c r="AU58" s="159"/>
      <c r="AV58" s="159"/>
      <c r="AY58" s="73" t="s">
        <v>157</v>
      </c>
      <c r="AZ58" s="10">
        <v>0.15</v>
      </c>
    </row>
    <row r="59" spans="1:53" ht="17.100000000000001" customHeight="1">
      <c r="C59" s="121"/>
      <c r="D59" s="122"/>
      <c r="E59" s="121"/>
      <c r="I59" s="434" t="str">
        <f>IF(I58="FIXFLO","DONT FORGET TO UPLOAD TO FIXFLO","")</f>
        <v/>
      </c>
      <c r="J59" s="434"/>
      <c r="K59" s="434"/>
      <c r="P59" s="434" t="str">
        <f>IF(P58="FIXFLO","DONT FORGET TO UPLOAD TO FIXFLO","")</f>
        <v/>
      </c>
      <c r="Q59" s="434"/>
      <c r="R59" s="434"/>
      <c r="Y59" s="121">
        <f>VLOOKUP(Y28,AY:BA,3,FALSE)</f>
        <v>0</v>
      </c>
      <c r="Z59" s="115"/>
      <c r="AP59" s="159"/>
      <c r="AQ59" s="159"/>
      <c r="AR59" s="159"/>
      <c r="AS59" s="159"/>
      <c r="AT59" s="159"/>
      <c r="AU59" s="159"/>
      <c r="AV59" s="159"/>
      <c r="AY59" s="73" t="s">
        <v>158</v>
      </c>
      <c r="AZ59" s="10">
        <v>0</v>
      </c>
    </row>
    <row r="60" spans="1:53" ht="17.100000000000001" customHeight="1">
      <c r="C60" s="163">
        <f>D28*100</f>
        <v>72.38095238095238</v>
      </c>
      <c r="D60" s="70">
        <f>ROUND(C60,0)</f>
        <v>72</v>
      </c>
      <c r="E60" s="121"/>
      <c r="I60" s="164"/>
      <c r="J60" s="164"/>
      <c r="K60" s="164"/>
      <c r="P60" s="164"/>
      <c r="Q60" s="164"/>
      <c r="R60" s="164"/>
      <c r="Y60" s="433" t="str">
        <f>IF(Y59="FIXFLO","DONT FORGET TO UPLOAD TO FIXFLO","")</f>
        <v/>
      </c>
      <c r="Z60" s="433"/>
      <c r="AA60" s="433"/>
      <c r="AB60" s="8"/>
      <c r="AP60" s="159"/>
      <c r="AQ60" s="159"/>
      <c r="AR60" s="159"/>
      <c r="AS60" s="159"/>
      <c r="AT60" s="159"/>
      <c r="AU60" s="159"/>
      <c r="AV60" s="159"/>
      <c r="AY60" s="73" t="s">
        <v>159</v>
      </c>
      <c r="AZ60" s="10">
        <v>0</v>
      </c>
    </row>
    <row r="61" spans="1:53" ht="17.100000000000001" customHeight="1">
      <c r="C61" s="121" t="s">
        <v>160</v>
      </c>
      <c r="D61" s="165">
        <f>VLOOKUP(E13,AP:AQ,2,FALSE)*F15</f>
        <v>79.8</v>
      </c>
      <c r="E61" s="119">
        <f>ROUND(D61,0)</f>
        <v>80</v>
      </c>
      <c r="I61" s="121"/>
      <c r="J61" s="122"/>
      <c r="K61" s="121"/>
      <c r="P61" s="121"/>
      <c r="Q61" s="122"/>
      <c r="R61" s="121"/>
      <c r="Y61" s="162"/>
      <c r="Z61" s="162"/>
      <c r="AA61" s="162"/>
      <c r="AB61" s="8"/>
      <c r="AP61" s="159"/>
      <c r="AQ61" s="159"/>
      <c r="AR61" s="159"/>
      <c r="AS61" s="159"/>
      <c r="AT61" s="159"/>
      <c r="AU61" s="159"/>
      <c r="AV61" s="159"/>
      <c r="AY61" s="73" t="s">
        <v>161</v>
      </c>
      <c r="AZ61" s="67">
        <v>0.14399999999999999</v>
      </c>
    </row>
    <row r="62" spans="1:53" ht="17.100000000000001" customHeight="1">
      <c r="C62" s="121" t="s">
        <v>162</v>
      </c>
      <c r="D62" s="119">
        <f>E61/F15</f>
        <v>40</v>
      </c>
      <c r="E62" s="121"/>
      <c r="I62" s="163">
        <f>J32*100</f>
        <v>27.290322580645171</v>
      </c>
      <c r="J62" s="70">
        <f>ROUND(I62,0)</f>
        <v>27</v>
      </c>
      <c r="K62" s="121"/>
      <c r="P62" s="163">
        <f>Q32*100</f>
        <v>27.193579956938731</v>
      </c>
      <c r="Q62" s="70">
        <f>ROUND(P62,0)</f>
        <v>27</v>
      </c>
      <c r="R62" s="121"/>
      <c r="Y62" s="8"/>
      <c r="Z62" s="8"/>
      <c r="AA62" s="8"/>
      <c r="AB62" s="8"/>
      <c r="AP62" s="159"/>
      <c r="AQ62" s="159"/>
      <c r="AR62" s="159"/>
      <c r="AS62" s="159"/>
      <c r="AT62" s="159"/>
      <c r="AU62" s="159"/>
      <c r="AV62" s="159"/>
      <c r="AY62" s="73" t="s">
        <v>163</v>
      </c>
      <c r="AZ62" s="10">
        <v>0.1</v>
      </c>
    </row>
    <row r="63" spans="1:53" ht="17.100000000000001" customHeight="1">
      <c r="C63" s="121" t="s">
        <v>164</v>
      </c>
      <c r="D63" s="119">
        <f>SUM(E30:E31)-D61-SUM(E18:E22)</f>
        <v>73.199999999999989</v>
      </c>
      <c r="E63" s="119">
        <f>ROUND(D63,0)</f>
        <v>73</v>
      </c>
      <c r="I63" s="121" t="s">
        <v>160</v>
      </c>
      <c r="J63" s="165">
        <f>M16+M19</f>
        <v>239.39999999999998</v>
      </c>
      <c r="K63" s="119">
        <f>ROUND(J63,0)</f>
        <v>239</v>
      </c>
      <c r="L63" s="118"/>
      <c r="M63" s="118"/>
      <c r="N63" s="118"/>
      <c r="P63" s="121" t="s">
        <v>160</v>
      </c>
      <c r="Q63" s="165">
        <f>T16+T19</f>
        <v>239.39999999999998</v>
      </c>
      <c r="R63" s="119">
        <f>ROUND(Q63,0)</f>
        <v>239</v>
      </c>
      <c r="S63" s="118"/>
      <c r="T63" s="118"/>
      <c r="Y63" s="8"/>
      <c r="Z63" s="8"/>
      <c r="AA63" s="8"/>
      <c r="AB63" s="8"/>
      <c r="AP63" s="159"/>
      <c r="AQ63" s="159"/>
      <c r="AR63" s="159"/>
      <c r="AS63" s="159"/>
      <c r="AT63" s="159"/>
      <c r="AU63" s="159"/>
      <c r="AV63" s="159"/>
      <c r="AY63" s="73" t="s">
        <v>165</v>
      </c>
      <c r="AZ63" s="10">
        <v>0</v>
      </c>
    </row>
    <row r="64" spans="1:53" ht="17.100000000000001" customHeight="1">
      <c r="C64" s="121" t="s">
        <v>166</v>
      </c>
      <c r="D64" s="122">
        <f>E63/SUM(E30:E31)</f>
        <v>0.34761904761904761</v>
      </c>
      <c r="E64" s="121">
        <f>D64*100</f>
        <v>34.761904761904759</v>
      </c>
      <c r="F64" s="73">
        <f>ROUND(E64,0)</f>
        <v>35</v>
      </c>
      <c r="I64" s="121" t="s">
        <v>164</v>
      </c>
      <c r="J64" s="119">
        <f>SUM(K34:K35)-J63-SUM(K22:K26)</f>
        <v>253.80000000000007</v>
      </c>
      <c r="K64" s="119">
        <f>ROUND(J64,0)</f>
        <v>254</v>
      </c>
      <c r="P64" s="121" t="s">
        <v>164</v>
      </c>
      <c r="Q64" s="119">
        <f>SUM(R34:R35)-Q63-SUM(R22:R26)</f>
        <v>534.35384615384601</v>
      </c>
      <c r="R64" s="119">
        <f>ROUND(Q64,0)</f>
        <v>534</v>
      </c>
      <c r="Y64" s="8"/>
      <c r="Z64" s="8"/>
      <c r="AA64" s="8"/>
      <c r="AB64" s="8"/>
      <c r="AP64" s="159"/>
      <c r="AQ64" s="159"/>
      <c r="AR64" s="159"/>
      <c r="AS64" s="159"/>
      <c r="AT64" s="159"/>
      <c r="AU64" s="159"/>
      <c r="AV64" s="159"/>
      <c r="AY64" s="73" t="s">
        <v>167</v>
      </c>
      <c r="AZ64" s="10">
        <v>0</v>
      </c>
    </row>
    <row r="65" spans="1:130" ht="17.100000000000001" customHeight="1">
      <c r="C65" s="121" t="s">
        <v>168</v>
      </c>
      <c r="D65" s="165" t="e">
        <f>VLOOKUP(E13,AP:AQ,2,FALSE)*F15+E20</f>
        <v>#VALUE!</v>
      </c>
      <c r="E65" s="119" t="e">
        <f>ROUND(D65,0)</f>
        <v>#VALUE!</v>
      </c>
      <c r="I65" s="121" t="s">
        <v>166</v>
      </c>
      <c r="J65" s="121">
        <f>J64/SUM(K34:K35)</f>
        <v>0.27290322580645171</v>
      </c>
      <c r="K65" s="121">
        <f>J65*100</f>
        <v>27.290322580645171</v>
      </c>
      <c r="M65" s="73">
        <f>ROUND(K65,0)</f>
        <v>27</v>
      </c>
      <c r="P65" s="121" t="s">
        <v>166</v>
      </c>
      <c r="Q65" s="121">
        <f>Q64/SUM(R34:R35)</f>
        <v>0.27193579956938729</v>
      </c>
      <c r="R65" s="121">
        <f>Q65*100</f>
        <v>27.193579956938731</v>
      </c>
      <c r="T65" s="73">
        <f>ROUND(R65,0)</f>
        <v>27</v>
      </c>
      <c r="Y65" s="8"/>
      <c r="Z65" s="8"/>
      <c r="AA65" s="8"/>
      <c r="AB65" s="8"/>
      <c r="AP65" s="159"/>
      <c r="AQ65" s="159"/>
      <c r="AR65" s="159"/>
      <c r="AS65" s="159"/>
      <c r="AT65" s="159"/>
      <c r="AU65" s="159"/>
      <c r="AV65" s="159"/>
      <c r="AY65" s="73" t="s">
        <v>169</v>
      </c>
      <c r="AZ65" s="361">
        <v>0.25</v>
      </c>
    </row>
    <row r="66" spans="1:130" ht="17.100000000000001" customHeight="1">
      <c r="C66" s="121" t="s">
        <v>164</v>
      </c>
      <c r="D66" s="119" t="e">
        <f>SUM(E30:E31)-D65-SUM(E18:E22)+E20</f>
        <v>#VALUE!</v>
      </c>
      <c r="E66" s="119" t="e">
        <f>ROUND(D66,0)</f>
        <v>#VALUE!</v>
      </c>
      <c r="I66" s="121" t="s">
        <v>170</v>
      </c>
      <c r="J66" s="165">
        <f>M16+M19+K24</f>
        <v>531.4</v>
      </c>
      <c r="K66" s="119">
        <f>ROUND(J66,0)</f>
        <v>531</v>
      </c>
      <c r="L66" s="118"/>
      <c r="M66" s="118"/>
      <c r="N66" s="118"/>
      <c r="P66" s="121" t="s">
        <v>170</v>
      </c>
      <c r="Q66" s="165">
        <f>T16+T19+R24</f>
        <v>1375.4</v>
      </c>
      <c r="R66" s="119">
        <f>ROUND(Q66,0)</f>
        <v>1375</v>
      </c>
      <c r="S66" s="118"/>
      <c r="T66" s="118"/>
      <c r="Y66" s="8"/>
      <c r="Z66" s="8"/>
      <c r="AA66" s="8"/>
      <c r="AB66" s="8"/>
      <c r="AP66" s="159"/>
      <c r="AQ66" s="159"/>
      <c r="AR66" s="159"/>
      <c r="AS66" s="159"/>
      <c r="AT66" s="159"/>
      <c r="AU66" s="159"/>
      <c r="AV66" s="159"/>
      <c r="AY66" s="73" t="s">
        <v>171</v>
      </c>
      <c r="AZ66" s="10">
        <v>0</v>
      </c>
      <c r="BA66" s="10" t="s">
        <v>6</v>
      </c>
    </row>
    <row r="67" spans="1:130" ht="17.100000000000001" customHeight="1">
      <c r="C67" s="121" t="s">
        <v>166</v>
      </c>
      <c r="D67" s="121" t="e">
        <f>D66/SUM(E30:E31)</f>
        <v>#VALUE!</v>
      </c>
      <c r="E67" s="121" t="e">
        <f>D67*100</f>
        <v>#VALUE!</v>
      </c>
      <c r="F67" s="73" t="e">
        <f>ROUND(E67,0)</f>
        <v>#VALUE!</v>
      </c>
      <c r="I67" s="121" t="s">
        <v>164</v>
      </c>
      <c r="J67" s="119">
        <f>SUM(K34:K35)-J66-SUM(K22:K26)+K24</f>
        <v>253.80000000000007</v>
      </c>
      <c r="K67" s="119">
        <f>ROUND(J67,0)</f>
        <v>254</v>
      </c>
      <c r="L67" s="118"/>
      <c r="P67" s="121" t="s">
        <v>164</v>
      </c>
      <c r="Q67" s="119">
        <f>SUM(R34:R35)-Q66-SUM(R22:R26)+R24</f>
        <v>534.35384615384601</v>
      </c>
      <c r="R67" s="119">
        <f>ROUND(Q67,0)</f>
        <v>534</v>
      </c>
      <c r="S67" s="118"/>
      <c r="Y67" s="8"/>
      <c r="Z67" s="8"/>
      <c r="AA67" s="8"/>
      <c r="AB67" s="8"/>
      <c r="AP67" s="159"/>
      <c r="AQ67" s="159"/>
      <c r="AR67" s="159"/>
      <c r="AS67" s="159"/>
      <c r="AT67" s="159"/>
      <c r="AU67" s="159"/>
      <c r="AV67" s="159"/>
      <c r="AY67" s="73" t="s">
        <v>172</v>
      </c>
      <c r="AZ67" s="10">
        <v>0</v>
      </c>
    </row>
    <row r="68" spans="1:130" ht="17.100000000000001" customHeight="1">
      <c r="C68" s="121"/>
      <c r="D68" s="121"/>
      <c r="E68" s="121"/>
      <c r="I68" s="121" t="s">
        <v>166</v>
      </c>
      <c r="J68" s="121">
        <f>J67/SUM(K34:K35)</f>
        <v>0.27290322580645171</v>
      </c>
      <c r="K68" s="121">
        <f>J68*100</f>
        <v>27.290322580645171</v>
      </c>
      <c r="M68" s="73">
        <f>ROUND(K68,0)</f>
        <v>27</v>
      </c>
      <c r="P68" s="121" t="s">
        <v>166</v>
      </c>
      <c r="Q68" s="121">
        <f>Q67/SUM(R34:R35)</f>
        <v>0.27193579956938729</v>
      </c>
      <c r="R68" s="121">
        <f>Q68*100</f>
        <v>27.193579956938731</v>
      </c>
      <c r="T68" s="73">
        <f>ROUND(R68,0)</f>
        <v>27</v>
      </c>
      <c r="Y68" s="8"/>
      <c r="Z68" s="8"/>
      <c r="AA68" s="8"/>
      <c r="AB68" s="8"/>
      <c r="AP68" s="159"/>
      <c r="AQ68" s="159"/>
      <c r="AR68" s="159"/>
      <c r="AS68" s="159"/>
      <c r="AT68" s="159"/>
      <c r="AU68" s="159"/>
      <c r="AV68" s="159"/>
      <c r="AY68" s="73" t="s">
        <v>173</v>
      </c>
      <c r="AZ68" s="10">
        <v>0.1</v>
      </c>
      <c r="BA68" s="10" t="s">
        <v>6</v>
      </c>
    </row>
    <row r="69" spans="1:130" ht="17.100000000000001" customHeight="1">
      <c r="C69" s="121"/>
      <c r="D69" s="121"/>
      <c r="E69" s="121"/>
      <c r="I69" s="121"/>
      <c r="J69" s="121"/>
      <c r="K69" s="121"/>
      <c r="P69" s="121"/>
      <c r="Q69" s="121"/>
      <c r="R69" s="121"/>
      <c r="Y69" s="8"/>
      <c r="Z69" s="8"/>
      <c r="AA69" s="8"/>
      <c r="AB69" s="8"/>
      <c r="AP69" s="159"/>
      <c r="AQ69" s="159"/>
      <c r="AR69" s="159"/>
      <c r="AS69" s="159"/>
      <c r="AT69" s="159"/>
      <c r="AU69" s="159"/>
      <c r="AV69" s="159"/>
      <c r="AY69" s="73" t="s">
        <v>99</v>
      </c>
      <c r="AZ69" s="10">
        <v>0</v>
      </c>
    </row>
    <row r="70" spans="1:130" ht="17.100000000000001" customHeight="1">
      <c r="D70" s="73"/>
      <c r="J70" s="73"/>
      <c r="Q70" s="73"/>
      <c r="Y70" s="8"/>
      <c r="Z70" s="8"/>
      <c r="AA70" s="8"/>
      <c r="AB70" s="8"/>
      <c r="AP70" s="159"/>
      <c r="AQ70" s="159"/>
      <c r="AR70" s="159"/>
      <c r="AS70" s="159"/>
      <c r="AT70" s="159"/>
      <c r="AU70" s="159"/>
      <c r="AV70" s="159"/>
      <c r="AY70" s="73" t="s">
        <v>174</v>
      </c>
      <c r="AZ70" s="10">
        <v>0</v>
      </c>
    </row>
    <row r="71" spans="1:130" ht="17.100000000000001" customHeight="1">
      <c r="D71" s="73"/>
      <c r="J71" s="73"/>
      <c r="Q71" s="73"/>
      <c r="Y71" s="8"/>
      <c r="Z71" s="8"/>
      <c r="AA71" s="8"/>
      <c r="AB71" s="8"/>
      <c r="AP71" s="159"/>
      <c r="AQ71" s="159"/>
      <c r="AR71" s="159"/>
      <c r="AS71" s="159"/>
      <c r="AT71" s="159"/>
      <c r="AU71" s="159"/>
      <c r="AV71" s="159"/>
      <c r="AY71" s="73" t="s">
        <v>175</v>
      </c>
      <c r="AZ71" s="10">
        <v>0.18</v>
      </c>
    </row>
    <row r="72" spans="1:130" s="86" customFormat="1" ht="17.100000000000001" customHeight="1" thickBot="1">
      <c r="A72" s="88"/>
      <c r="B72" s="73"/>
      <c r="C72" s="73"/>
      <c r="D72" s="73"/>
      <c r="E72" s="73"/>
      <c r="F72" s="73"/>
      <c r="G72" s="73"/>
      <c r="H72" s="110"/>
      <c r="I72" s="73"/>
      <c r="J72" s="73"/>
      <c r="K72" s="73"/>
      <c r="L72" s="73"/>
      <c r="M72" s="73"/>
      <c r="N72" s="73"/>
      <c r="O72" s="110"/>
      <c r="P72" s="73"/>
      <c r="Q72" s="73"/>
      <c r="R72" s="73"/>
      <c r="S72" s="73"/>
      <c r="T72" s="73"/>
      <c r="U72" s="73"/>
      <c r="V72" s="158"/>
      <c r="W72" s="73"/>
      <c r="X72" s="158"/>
      <c r="Y72" s="8"/>
      <c r="Z72" s="8"/>
      <c r="AA72" s="8"/>
      <c r="AB72" s="8"/>
      <c r="AC72" s="166"/>
      <c r="AD72" s="88"/>
      <c r="AE72" s="73"/>
      <c r="AF72" s="73"/>
      <c r="AG72" s="73"/>
      <c r="AH72" s="73"/>
      <c r="AI72" s="73"/>
      <c r="AJ72" s="73"/>
      <c r="AK72" s="73"/>
      <c r="AL72" s="73"/>
      <c r="AM72" s="73"/>
      <c r="AN72" s="73"/>
      <c r="AO72" s="73"/>
      <c r="AP72" s="159"/>
      <c r="AQ72" s="159"/>
      <c r="AR72" s="159"/>
      <c r="AS72" s="159"/>
      <c r="AT72" s="159"/>
      <c r="AU72" s="159"/>
      <c r="AV72" s="159"/>
      <c r="AW72" s="73"/>
      <c r="AX72" s="73"/>
      <c r="AY72" s="73" t="s">
        <v>176</v>
      </c>
      <c r="AZ72" s="10">
        <v>0.12</v>
      </c>
      <c r="BA72" s="10" t="s">
        <v>6</v>
      </c>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c r="CC72" s="73"/>
      <c r="CD72" s="73"/>
      <c r="CE72" s="73"/>
      <c r="CF72" s="73"/>
      <c r="CG72" s="73"/>
      <c r="CH72" s="73"/>
      <c r="CI72" s="73"/>
      <c r="CJ72" s="73"/>
      <c r="CK72" s="73"/>
      <c r="CL72" s="73"/>
      <c r="CM72" s="73"/>
      <c r="CN72" s="73"/>
      <c r="CO72" s="73"/>
      <c r="CP72" s="73"/>
      <c r="CQ72" s="73"/>
      <c r="CR72" s="73"/>
      <c r="CS72" s="73"/>
      <c r="CT72" s="73"/>
      <c r="CU72" s="73"/>
      <c r="CV72" s="73"/>
      <c r="CW72" s="73"/>
      <c r="CX72" s="73"/>
      <c r="CY72" s="73"/>
      <c r="CZ72" s="73"/>
      <c r="DA72" s="73"/>
      <c r="DB72" s="73"/>
      <c r="DC72" s="73"/>
      <c r="DD72" s="73"/>
      <c r="DE72" s="73"/>
      <c r="DF72" s="73"/>
      <c r="DG72" s="73"/>
      <c r="DH72" s="73"/>
      <c r="DI72" s="73"/>
      <c r="DJ72" s="73"/>
      <c r="DK72" s="73"/>
      <c r="DL72" s="73"/>
      <c r="DM72" s="73"/>
      <c r="DN72" s="73"/>
      <c r="DO72" s="73"/>
      <c r="DP72" s="73"/>
      <c r="DQ72" s="73"/>
      <c r="DR72" s="73"/>
      <c r="DS72" s="73"/>
      <c r="DT72" s="73"/>
      <c r="DU72" s="73"/>
      <c r="DV72" s="73"/>
      <c r="DW72" s="73"/>
      <c r="DX72" s="73"/>
      <c r="DY72" s="73"/>
      <c r="DZ72" s="73"/>
    </row>
    <row r="73" spans="1:130" ht="17.100000000000001" customHeight="1" thickTop="1">
      <c r="D73" s="73"/>
      <c r="J73" s="73"/>
      <c r="Q73" s="73"/>
      <c r="Y73" s="8"/>
      <c r="Z73" s="8"/>
      <c r="AA73" s="8"/>
      <c r="AB73" s="8"/>
      <c r="AC73" s="9"/>
      <c r="AP73" s="159"/>
      <c r="AQ73" s="159"/>
      <c r="AR73" s="159"/>
      <c r="AS73" s="159"/>
      <c r="AT73" s="159"/>
      <c r="AU73" s="159"/>
      <c r="AV73" s="159"/>
      <c r="AY73" s="73" t="s">
        <v>177</v>
      </c>
      <c r="AZ73" s="10">
        <v>0</v>
      </c>
      <c r="BA73" s="10" t="s">
        <v>6</v>
      </c>
    </row>
    <row r="74" spans="1:130" ht="17.100000000000001" customHeight="1">
      <c r="D74" s="73"/>
      <c r="J74" s="73"/>
      <c r="Q74" s="73"/>
      <c r="AP74" s="159"/>
      <c r="AQ74" s="159"/>
      <c r="AR74" s="159"/>
      <c r="AS74" s="159"/>
      <c r="AT74" s="159"/>
      <c r="AU74" s="159"/>
      <c r="AV74" s="159"/>
      <c r="AY74" s="73" t="s">
        <v>178</v>
      </c>
      <c r="AZ74" s="10">
        <v>0</v>
      </c>
    </row>
    <row r="75" spans="1:130" ht="17.100000000000001" customHeight="1">
      <c r="D75" s="73"/>
      <c r="J75" s="73"/>
      <c r="Q75" s="73"/>
      <c r="AP75" s="159"/>
      <c r="AQ75" s="159"/>
      <c r="AR75" s="159"/>
      <c r="AS75" s="159"/>
      <c r="AT75" s="159"/>
      <c r="AU75" s="159"/>
      <c r="AV75" s="159"/>
      <c r="AY75" s="73" t="s">
        <v>179</v>
      </c>
      <c r="AZ75" s="10">
        <v>0</v>
      </c>
      <c r="BA75" s="73"/>
    </row>
    <row r="76" spans="1:130" ht="17.100000000000001" customHeight="1">
      <c r="D76" s="73"/>
      <c r="J76" s="73"/>
      <c r="Q76" s="73"/>
      <c r="AP76" s="159"/>
      <c r="AQ76" s="159"/>
      <c r="AR76" s="159"/>
      <c r="AS76" s="159"/>
      <c r="AT76" s="159"/>
      <c r="AU76" s="159"/>
      <c r="AV76" s="159"/>
      <c r="AY76" s="73" t="s">
        <v>180</v>
      </c>
      <c r="AZ76" s="10">
        <v>0</v>
      </c>
      <c r="BA76" s="73"/>
    </row>
    <row r="77" spans="1:130" ht="17.100000000000001" customHeight="1">
      <c r="D77" s="73"/>
      <c r="J77" s="73"/>
      <c r="Q77" s="73"/>
      <c r="AP77" s="159"/>
      <c r="AQ77" s="159"/>
      <c r="AR77" s="159"/>
      <c r="AS77" s="159"/>
      <c r="AT77" s="159"/>
      <c r="AU77" s="159"/>
      <c r="AV77" s="159"/>
      <c r="AY77" s="73" t="s">
        <v>181</v>
      </c>
      <c r="AZ77" s="10">
        <v>0</v>
      </c>
    </row>
    <row r="78" spans="1:130" ht="17.100000000000001" customHeight="1">
      <c r="D78" s="73"/>
      <c r="J78" s="73"/>
      <c r="Q78" s="73"/>
      <c r="AP78" s="159"/>
      <c r="AQ78" s="159"/>
      <c r="AR78" s="159"/>
      <c r="AS78" s="159"/>
      <c r="AT78" s="159"/>
      <c r="AU78" s="159"/>
      <c r="AV78" s="159"/>
      <c r="AY78" s="73" t="s">
        <v>182</v>
      </c>
      <c r="AZ78" s="10">
        <v>0.15</v>
      </c>
      <c r="BA78" s="10" t="s">
        <v>6</v>
      </c>
    </row>
    <row r="79" spans="1:130" ht="17.100000000000001" customHeight="1">
      <c r="D79" s="73"/>
      <c r="J79" s="73"/>
      <c r="Q79" s="73"/>
      <c r="AP79" s="159"/>
      <c r="AQ79" s="159"/>
      <c r="AR79" s="159"/>
      <c r="AS79" s="159"/>
      <c r="AT79" s="159"/>
      <c r="AU79" s="159"/>
      <c r="AV79" s="159"/>
      <c r="AY79" s="73" t="s">
        <v>183</v>
      </c>
      <c r="AZ79" s="10">
        <v>0.05</v>
      </c>
    </row>
    <row r="80" spans="1:130" ht="17.100000000000001" customHeight="1">
      <c r="D80" s="73"/>
      <c r="J80" s="73"/>
      <c r="Q80" s="73"/>
      <c r="AP80" s="159"/>
      <c r="AQ80" s="159"/>
      <c r="AR80" s="159"/>
      <c r="AS80" s="159"/>
      <c r="AT80" s="159"/>
      <c r="AU80" s="159"/>
      <c r="AV80" s="159"/>
      <c r="AY80" s="73" t="s">
        <v>184</v>
      </c>
      <c r="AZ80" s="10">
        <v>0.1</v>
      </c>
    </row>
    <row r="81" spans="1:130" ht="17.100000000000001" customHeight="1">
      <c r="D81" s="73"/>
      <c r="J81" s="73"/>
      <c r="Q81" s="73"/>
      <c r="AP81" s="159"/>
      <c r="AQ81" s="159"/>
      <c r="AR81" s="159"/>
      <c r="AS81" s="159"/>
      <c r="AT81" s="159"/>
      <c r="AU81" s="159"/>
      <c r="AV81" s="159"/>
      <c r="AY81" s="73" t="s">
        <v>185</v>
      </c>
      <c r="AZ81" s="168">
        <v>0.14399999999999999</v>
      </c>
      <c r="BA81" s="73" t="s">
        <v>6</v>
      </c>
    </row>
    <row r="82" spans="1:130" s="86" customFormat="1" ht="17.100000000000001" customHeight="1" thickBot="1">
      <c r="A82" s="88"/>
      <c r="B82" s="73"/>
      <c r="C82" s="73"/>
      <c r="D82" s="73"/>
      <c r="E82" s="73"/>
      <c r="F82" s="73"/>
      <c r="G82" s="73"/>
      <c r="H82" s="110"/>
      <c r="I82" s="73"/>
      <c r="J82" s="115"/>
      <c r="K82" s="73"/>
      <c r="L82" s="73"/>
      <c r="M82" s="73"/>
      <c r="N82" s="73"/>
      <c r="O82" s="110"/>
      <c r="P82" s="73"/>
      <c r="Q82" s="115"/>
      <c r="R82" s="73"/>
      <c r="S82" s="73"/>
      <c r="T82" s="73"/>
      <c r="U82" s="73"/>
      <c r="V82" s="158"/>
      <c r="W82" s="73"/>
      <c r="X82" s="158"/>
      <c r="Y82" s="73"/>
      <c r="Z82" s="73"/>
      <c r="AA82" s="73"/>
      <c r="AB82" s="73"/>
      <c r="AC82" s="73"/>
      <c r="AD82" s="88"/>
      <c r="AE82" s="73"/>
      <c r="AF82" s="73"/>
      <c r="AG82" s="73"/>
      <c r="AH82" s="73"/>
      <c r="AI82" s="73"/>
      <c r="AJ82" s="73"/>
      <c r="AK82" s="73"/>
      <c r="AL82" s="73"/>
      <c r="AM82" s="73"/>
      <c r="AN82" s="73"/>
      <c r="AO82" s="73"/>
      <c r="AP82" s="159"/>
      <c r="AQ82" s="159"/>
      <c r="AR82" s="159"/>
      <c r="AS82" s="159"/>
      <c r="AT82" s="159"/>
      <c r="AU82" s="159"/>
      <c r="AV82" s="159"/>
      <c r="AW82" s="73"/>
      <c r="AX82" s="73"/>
      <c r="AY82" s="73" t="s">
        <v>186</v>
      </c>
      <c r="AZ82" s="10">
        <v>0</v>
      </c>
      <c r="BA82" s="10"/>
      <c r="BB82" s="73"/>
      <c r="BC82" s="73"/>
      <c r="BD82" s="73"/>
      <c r="BE82" s="73"/>
      <c r="BF82" s="73"/>
      <c r="BG82" s="73"/>
      <c r="BH82" s="73"/>
      <c r="BI82" s="73"/>
      <c r="BJ82" s="73"/>
      <c r="BK82" s="73"/>
      <c r="BL82" s="73"/>
      <c r="BM82" s="73"/>
      <c r="BN82" s="73"/>
      <c r="BO82" s="73"/>
      <c r="BP82" s="73"/>
      <c r="BQ82" s="73"/>
      <c r="BR82" s="73"/>
      <c r="BS82" s="73"/>
      <c r="BT82" s="73"/>
      <c r="BU82" s="73"/>
      <c r="BV82" s="73"/>
      <c r="BW82" s="73"/>
      <c r="BX82" s="73"/>
      <c r="BY82" s="73"/>
      <c r="BZ82" s="73"/>
      <c r="CA82" s="73"/>
      <c r="CB82" s="73"/>
      <c r="CC82" s="73"/>
      <c r="CD82" s="73"/>
      <c r="CE82" s="73"/>
      <c r="CF82" s="73"/>
      <c r="CG82" s="73"/>
      <c r="CH82" s="73"/>
      <c r="CI82" s="73"/>
      <c r="CJ82" s="73"/>
      <c r="CK82" s="73"/>
      <c r="CL82" s="73"/>
      <c r="CM82" s="73"/>
      <c r="CN82" s="73"/>
      <c r="CO82" s="73"/>
      <c r="CP82" s="73"/>
      <c r="CQ82" s="73"/>
      <c r="CR82" s="73"/>
      <c r="CS82" s="73"/>
      <c r="CT82" s="73"/>
      <c r="CU82" s="73"/>
      <c r="CV82" s="73"/>
      <c r="CW82" s="73"/>
      <c r="CX82" s="73"/>
      <c r="CY82" s="73"/>
      <c r="CZ82" s="73"/>
      <c r="DA82" s="73"/>
      <c r="DB82" s="73"/>
      <c r="DC82" s="73"/>
      <c r="DD82" s="73"/>
      <c r="DE82" s="73"/>
      <c r="DF82" s="73"/>
      <c r="DG82" s="73"/>
      <c r="DH82" s="73"/>
      <c r="DI82" s="73"/>
      <c r="DJ82" s="73"/>
      <c r="DK82" s="73"/>
      <c r="DL82" s="73"/>
      <c r="DM82" s="73"/>
      <c r="DN82" s="73"/>
      <c r="DO82" s="73"/>
      <c r="DP82" s="73"/>
      <c r="DQ82" s="73"/>
      <c r="DR82" s="73"/>
      <c r="DS82" s="73"/>
      <c r="DT82" s="73"/>
      <c r="DU82" s="73"/>
      <c r="DV82" s="73"/>
      <c r="DW82" s="73"/>
      <c r="DX82" s="73"/>
      <c r="DY82" s="73"/>
      <c r="DZ82" s="73"/>
    </row>
    <row r="83" spans="1:130" ht="17.100000000000001" customHeight="1" thickTop="1">
      <c r="D83" s="73"/>
      <c r="J83" s="73"/>
      <c r="Q83" s="73"/>
      <c r="AP83" s="159"/>
      <c r="AQ83" s="159"/>
      <c r="AR83" s="159"/>
      <c r="AS83" s="159"/>
      <c r="AT83" s="159"/>
      <c r="AU83" s="159"/>
      <c r="AV83" s="159"/>
      <c r="AY83" s="73" t="s">
        <v>187</v>
      </c>
      <c r="AZ83" s="10">
        <v>0.1</v>
      </c>
    </row>
    <row r="84" spans="1:130" ht="17.100000000000001" customHeight="1">
      <c r="D84" s="73"/>
      <c r="J84" s="73"/>
      <c r="Q84" s="73"/>
      <c r="AP84" s="159"/>
      <c r="AQ84" s="159"/>
      <c r="AR84" s="159"/>
      <c r="AS84" s="159"/>
      <c r="AT84" s="159"/>
      <c r="AU84" s="159"/>
      <c r="AV84" s="159"/>
      <c r="AY84" s="73" t="s">
        <v>188</v>
      </c>
      <c r="AZ84" s="10">
        <v>0</v>
      </c>
    </row>
    <row r="85" spans="1:130" ht="17.100000000000001" customHeight="1">
      <c r="D85" s="73"/>
      <c r="J85" s="73"/>
      <c r="Q85" s="73"/>
      <c r="AP85" s="159"/>
      <c r="AQ85" s="159"/>
      <c r="AR85" s="159"/>
      <c r="AS85" s="159"/>
      <c r="AT85" s="159"/>
      <c r="AU85" s="159"/>
      <c r="AV85" s="159"/>
      <c r="AY85" s="73" t="s">
        <v>189</v>
      </c>
      <c r="AZ85" s="10">
        <v>0</v>
      </c>
    </row>
    <row r="86" spans="1:130" ht="17.100000000000001" customHeight="1">
      <c r="D86" s="73"/>
      <c r="J86" s="73"/>
      <c r="Q86" s="73"/>
      <c r="AP86" s="159"/>
      <c r="AQ86" s="159"/>
      <c r="AR86" s="159"/>
      <c r="AS86" s="159"/>
      <c r="AT86" s="159"/>
      <c r="AU86" s="159"/>
      <c r="AV86" s="159"/>
      <c r="AY86" s="73" t="s">
        <v>190</v>
      </c>
      <c r="AZ86" s="10">
        <v>0.15</v>
      </c>
    </row>
    <row r="87" spans="1:130" ht="17.100000000000001" customHeight="1">
      <c r="D87" s="73"/>
      <c r="J87" s="73"/>
      <c r="Q87" s="73"/>
      <c r="AP87" s="159"/>
      <c r="AQ87" s="159"/>
      <c r="AR87" s="159"/>
      <c r="AS87" s="159"/>
      <c r="AT87" s="159"/>
      <c r="AU87" s="159"/>
      <c r="AV87" s="159"/>
      <c r="AY87" s="73" t="s">
        <v>191</v>
      </c>
      <c r="AZ87" s="10">
        <v>0</v>
      </c>
    </row>
    <row r="88" spans="1:130" ht="17.100000000000001" customHeight="1">
      <c r="D88" s="73"/>
      <c r="J88" s="73"/>
      <c r="Q88" s="73"/>
      <c r="AP88" s="159"/>
      <c r="AQ88" s="159"/>
      <c r="AR88" s="159"/>
      <c r="AS88" s="159"/>
      <c r="AT88" s="159"/>
      <c r="AU88" s="159"/>
      <c r="AV88" s="159"/>
      <c r="AY88" s="73" t="s">
        <v>192</v>
      </c>
      <c r="AZ88" s="10">
        <v>0</v>
      </c>
    </row>
    <row r="89" spans="1:130" ht="17.100000000000001" customHeight="1">
      <c r="D89" s="73"/>
      <c r="J89" s="73"/>
      <c r="Q89" s="73"/>
      <c r="AP89" s="159"/>
      <c r="AQ89" s="159"/>
      <c r="AR89" s="159"/>
      <c r="AS89" s="159"/>
      <c r="AT89" s="159"/>
      <c r="AU89" s="159"/>
      <c r="AV89" s="159"/>
      <c r="AY89" s="73" t="s">
        <v>193</v>
      </c>
      <c r="AZ89" s="10">
        <v>0.1</v>
      </c>
    </row>
    <row r="90" spans="1:130" ht="17.100000000000001" customHeight="1">
      <c r="D90" s="73"/>
      <c r="J90" s="73"/>
      <c r="Q90" s="73"/>
      <c r="AP90" s="159"/>
      <c r="AQ90" s="159"/>
      <c r="AR90" s="159"/>
      <c r="AS90" s="159"/>
      <c r="AT90" s="159"/>
      <c r="AU90" s="159"/>
      <c r="AV90" s="159"/>
      <c r="AY90" s="73" t="s">
        <v>194</v>
      </c>
      <c r="AZ90" s="10">
        <v>0</v>
      </c>
    </row>
    <row r="91" spans="1:130" ht="17.100000000000001" customHeight="1">
      <c r="D91" s="73"/>
      <c r="J91" s="73"/>
      <c r="Q91" s="73"/>
      <c r="AP91" s="159"/>
      <c r="AQ91" s="159"/>
      <c r="AR91" s="159"/>
      <c r="AS91" s="159"/>
      <c r="AT91" s="159"/>
      <c r="AU91" s="159"/>
      <c r="AV91" s="159"/>
      <c r="AY91" s="73" t="s">
        <v>195</v>
      </c>
      <c r="AZ91" s="10">
        <v>0</v>
      </c>
    </row>
    <row r="92" spans="1:130" ht="17.100000000000001" customHeight="1">
      <c r="J92" s="73"/>
      <c r="Q92" s="73"/>
      <c r="AP92" s="159"/>
      <c r="AQ92" s="159"/>
      <c r="AR92" s="159"/>
      <c r="AS92" s="159"/>
      <c r="AT92" s="159"/>
      <c r="AU92" s="159"/>
      <c r="AV92" s="159"/>
      <c r="AY92" s="73" t="s">
        <v>196</v>
      </c>
      <c r="AZ92" s="10">
        <v>0</v>
      </c>
    </row>
    <row r="93" spans="1:130" ht="17.100000000000001" customHeight="1">
      <c r="J93" s="73"/>
      <c r="Q93" s="73"/>
      <c r="AP93" s="159"/>
      <c r="AQ93" s="159"/>
      <c r="AR93" s="159"/>
      <c r="AS93" s="159"/>
      <c r="AT93" s="159"/>
      <c r="AU93" s="159"/>
      <c r="AV93" s="159"/>
      <c r="AY93" s="73" t="s">
        <v>197</v>
      </c>
      <c r="AZ93" s="10">
        <v>0</v>
      </c>
    </row>
    <row r="94" spans="1:130" ht="17.100000000000001" customHeight="1">
      <c r="J94" s="73"/>
      <c r="Q94" s="73"/>
      <c r="AP94" s="159"/>
      <c r="AQ94" s="159"/>
      <c r="AR94" s="159"/>
      <c r="AS94" s="159"/>
      <c r="AT94" s="159"/>
      <c r="AU94" s="159"/>
      <c r="AV94" s="159"/>
      <c r="AY94" s="73" t="s">
        <v>198</v>
      </c>
      <c r="AZ94" s="10">
        <v>0.15</v>
      </c>
    </row>
    <row r="95" spans="1:130" ht="17.100000000000001" customHeight="1">
      <c r="J95" s="73"/>
      <c r="Q95" s="73"/>
      <c r="AP95" s="159"/>
      <c r="AQ95" s="159"/>
      <c r="AR95" s="159"/>
      <c r="AS95" s="159"/>
      <c r="AT95" s="159"/>
      <c r="AU95" s="159"/>
      <c r="AV95" s="159"/>
      <c r="AY95" s="73" t="s">
        <v>199</v>
      </c>
      <c r="AZ95" s="10">
        <v>0.15</v>
      </c>
    </row>
    <row r="96" spans="1:130" ht="17.100000000000001" customHeight="1">
      <c r="J96" s="73"/>
      <c r="Q96" s="73"/>
      <c r="AP96" s="159"/>
      <c r="AQ96" s="159"/>
      <c r="AR96" s="159"/>
      <c r="AS96" s="159"/>
      <c r="AT96" s="159"/>
      <c r="AU96" s="159"/>
      <c r="AV96" s="159"/>
      <c r="AY96" s="73" t="s">
        <v>200</v>
      </c>
      <c r="AZ96" s="10">
        <v>0.12</v>
      </c>
    </row>
    <row r="97" spans="4:53" ht="17.100000000000001" customHeight="1">
      <c r="J97" s="73"/>
      <c r="Q97" s="73"/>
      <c r="AP97" s="159"/>
      <c r="AQ97" s="159"/>
      <c r="AR97" s="159"/>
      <c r="AS97" s="159"/>
      <c r="AT97" s="159"/>
      <c r="AU97" s="159"/>
      <c r="AV97" s="159"/>
      <c r="BA97" s="73"/>
    </row>
    <row r="98" spans="4:53" ht="17.100000000000001" customHeight="1">
      <c r="J98" s="73"/>
      <c r="Q98" s="73"/>
      <c r="AP98" s="159"/>
      <c r="AQ98" s="159"/>
      <c r="AR98" s="159"/>
      <c r="AS98" s="159"/>
      <c r="AT98" s="159"/>
      <c r="AU98" s="159"/>
      <c r="AV98" s="159"/>
      <c r="BA98" s="73"/>
    </row>
    <row r="99" spans="4:53" ht="17.100000000000001" customHeight="1">
      <c r="J99" s="73"/>
      <c r="Q99" s="73"/>
      <c r="AP99" s="159"/>
      <c r="AQ99" s="159"/>
      <c r="AR99" s="159"/>
      <c r="AS99" s="159"/>
      <c r="AT99" s="159"/>
      <c r="AU99" s="159"/>
      <c r="AV99" s="159"/>
    </row>
    <row r="100" spans="4:53" ht="17.100000000000001" customHeight="1">
      <c r="J100" s="73"/>
      <c r="Q100" s="73"/>
      <c r="AP100" s="159"/>
      <c r="AQ100" s="159"/>
      <c r="AR100" s="159"/>
      <c r="AS100" s="159"/>
      <c r="AT100" s="159"/>
      <c r="AU100" s="159"/>
      <c r="AV100" s="159"/>
    </row>
    <row r="101" spans="4:53" ht="17.100000000000001" customHeight="1">
      <c r="J101" s="73"/>
      <c r="Q101" s="73"/>
      <c r="AP101" s="159"/>
      <c r="AQ101" s="159"/>
      <c r="AR101" s="159"/>
      <c r="AS101" s="159"/>
      <c r="AT101" s="159"/>
      <c r="AU101" s="159"/>
      <c r="AV101" s="159"/>
    </row>
    <row r="102" spans="4:53" ht="17.100000000000001" customHeight="1">
      <c r="J102" s="73"/>
      <c r="Q102" s="73"/>
      <c r="AP102" s="159"/>
      <c r="AQ102" s="159"/>
      <c r="AR102" s="159"/>
      <c r="AS102" s="159"/>
      <c r="AT102" s="159"/>
      <c r="AU102" s="159"/>
      <c r="AV102" s="159"/>
    </row>
    <row r="103" spans="4:53" ht="17.100000000000001" customHeight="1">
      <c r="J103" s="73"/>
      <c r="Q103" s="73"/>
      <c r="AP103" s="159"/>
      <c r="AQ103" s="159"/>
      <c r="AR103" s="159"/>
      <c r="AS103" s="159"/>
      <c r="AT103" s="159"/>
      <c r="AU103" s="159"/>
      <c r="AV103" s="159"/>
    </row>
    <row r="104" spans="4:53" ht="17.100000000000001" customHeight="1">
      <c r="J104" s="73"/>
      <c r="Q104" s="73"/>
      <c r="AP104" s="159"/>
      <c r="AQ104" s="159"/>
      <c r="AR104" s="159"/>
      <c r="AS104" s="159"/>
      <c r="AT104" s="159"/>
      <c r="AU104" s="159"/>
      <c r="AV104" s="159"/>
    </row>
    <row r="105" spans="4:53" ht="17.100000000000001" customHeight="1">
      <c r="J105" s="73"/>
      <c r="Q105" s="73"/>
      <c r="AP105" s="159"/>
      <c r="AQ105" s="159"/>
      <c r="AR105" s="159"/>
      <c r="AS105" s="159"/>
      <c r="AT105" s="159"/>
      <c r="AU105" s="159"/>
      <c r="AV105" s="159"/>
      <c r="AZ105" s="73"/>
    </row>
    <row r="106" spans="4:53" ht="17.100000000000001" customHeight="1">
      <c r="D106" s="73"/>
      <c r="J106" s="73"/>
      <c r="Q106" s="73"/>
      <c r="AP106" s="159"/>
      <c r="AQ106" s="159"/>
      <c r="AR106" s="159"/>
      <c r="AS106" s="159"/>
      <c r="AT106" s="159"/>
      <c r="AU106" s="159"/>
      <c r="AV106" s="159"/>
      <c r="AZ106" s="73"/>
    </row>
    <row r="107" spans="4:53" ht="17.100000000000001" customHeight="1">
      <c r="J107" s="73"/>
      <c r="Q107" s="73"/>
      <c r="AP107" s="159"/>
      <c r="AQ107" s="159"/>
      <c r="AR107" s="159"/>
      <c r="AS107" s="159"/>
      <c r="AT107" s="159"/>
      <c r="AU107" s="159"/>
      <c r="AV107" s="159"/>
    </row>
    <row r="108" spans="4:53" ht="17.100000000000001" customHeight="1">
      <c r="J108" s="73"/>
      <c r="Q108" s="73"/>
      <c r="AP108" s="159"/>
      <c r="AQ108" s="159"/>
      <c r="AR108" s="159"/>
      <c r="AS108" s="159"/>
      <c r="AT108" s="159"/>
      <c r="AU108" s="159"/>
      <c r="AV108" s="159"/>
    </row>
    <row r="109" spans="4:53" ht="17.100000000000001" customHeight="1">
      <c r="J109" s="73"/>
      <c r="Q109" s="73"/>
      <c r="AP109" s="159"/>
      <c r="AQ109" s="159"/>
      <c r="AR109" s="159"/>
      <c r="AS109" s="159"/>
      <c r="AT109" s="159"/>
      <c r="AU109" s="159"/>
      <c r="AV109" s="159"/>
    </row>
    <row r="110" spans="4:53" ht="17.100000000000001" customHeight="1">
      <c r="J110" s="73"/>
      <c r="Q110" s="73"/>
      <c r="AP110" s="159"/>
      <c r="AQ110" s="159"/>
      <c r="AR110" s="159"/>
      <c r="AS110" s="159"/>
      <c r="AT110" s="159"/>
      <c r="AU110" s="159"/>
      <c r="AV110" s="159"/>
    </row>
    <row r="111" spans="4:53" ht="17.100000000000001" customHeight="1">
      <c r="J111" s="73"/>
      <c r="Q111" s="73"/>
      <c r="AP111" s="159"/>
      <c r="AQ111" s="159"/>
      <c r="AR111" s="159"/>
      <c r="AS111" s="159"/>
      <c r="AT111" s="159"/>
      <c r="AU111" s="159"/>
      <c r="AV111" s="159"/>
    </row>
    <row r="112" spans="4:53" ht="17.100000000000001" customHeight="1">
      <c r="J112" s="73"/>
      <c r="Q112" s="73"/>
      <c r="AP112" s="159"/>
      <c r="AQ112" s="159"/>
      <c r="AR112" s="159"/>
      <c r="AS112" s="159"/>
      <c r="AT112" s="159"/>
      <c r="AU112" s="159"/>
      <c r="AV112" s="159"/>
    </row>
    <row r="113" spans="10:48" ht="17.100000000000001" customHeight="1">
      <c r="J113" s="73"/>
      <c r="Q113" s="73"/>
      <c r="AP113" s="159"/>
      <c r="AQ113" s="159"/>
      <c r="AR113" s="159"/>
      <c r="AS113" s="159"/>
      <c r="AT113" s="159"/>
      <c r="AU113" s="159"/>
      <c r="AV113" s="159"/>
    </row>
    <row r="114" spans="10:48" ht="17.100000000000001" customHeight="1">
      <c r="J114" s="73"/>
      <c r="Q114" s="73"/>
      <c r="AP114" s="159"/>
      <c r="AQ114" s="159"/>
      <c r="AR114" s="159"/>
      <c r="AS114" s="159"/>
      <c r="AT114" s="159"/>
      <c r="AU114" s="159"/>
      <c r="AV114" s="159"/>
    </row>
    <row r="115" spans="10:48" ht="17.100000000000001" customHeight="1">
      <c r="J115" s="73"/>
      <c r="Q115" s="73"/>
      <c r="AP115" s="159"/>
      <c r="AQ115" s="159"/>
      <c r="AR115" s="159"/>
      <c r="AS115" s="159"/>
      <c r="AT115" s="159"/>
      <c r="AU115" s="159"/>
      <c r="AV115" s="159"/>
    </row>
    <row r="116" spans="10:48" ht="17.100000000000001" customHeight="1">
      <c r="J116" s="73"/>
      <c r="K116" s="167"/>
      <c r="L116" s="167"/>
      <c r="M116" s="167"/>
      <c r="N116" s="167"/>
      <c r="Q116" s="73"/>
      <c r="R116" s="167"/>
      <c r="S116" s="167"/>
      <c r="T116" s="167"/>
      <c r="AP116" s="159"/>
      <c r="AQ116" s="159"/>
      <c r="AR116" s="159"/>
      <c r="AS116" s="159"/>
      <c r="AT116" s="159"/>
      <c r="AU116" s="159"/>
      <c r="AV116" s="159"/>
    </row>
    <row r="117" spans="10:48" ht="17.100000000000001" customHeight="1">
      <c r="J117" s="73"/>
      <c r="Q117" s="73"/>
    </row>
    <row r="118" spans="10:48" ht="17.100000000000001" customHeight="1">
      <c r="J118" s="73"/>
      <c r="Q118" s="73"/>
    </row>
    <row r="119" spans="10:48" ht="17.100000000000001" customHeight="1">
      <c r="J119" s="73"/>
      <c r="Q119" s="73"/>
    </row>
    <row r="120" spans="10:48" ht="17.100000000000001" customHeight="1">
      <c r="J120" s="73"/>
      <c r="Q120" s="73"/>
    </row>
    <row r="121" spans="10:48" ht="17.100000000000001" customHeight="1">
      <c r="J121" s="73"/>
      <c r="Q121" s="73"/>
    </row>
    <row r="122" spans="10:48" ht="17.100000000000001" customHeight="1">
      <c r="J122" s="73"/>
      <c r="Q122" s="73"/>
    </row>
    <row r="123" spans="10:48" ht="17.100000000000001" customHeight="1">
      <c r="J123" s="73"/>
      <c r="Q123" s="73"/>
    </row>
    <row r="124" spans="10:48" ht="17.100000000000001" customHeight="1">
      <c r="J124" s="73"/>
      <c r="Q124" s="73"/>
    </row>
    <row r="125" spans="10:48" ht="17.100000000000001" customHeight="1"/>
    <row r="126" spans="10:48" ht="17.100000000000001" customHeight="1"/>
    <row r="127" spans="10:48" ht="17.100000000000001" customHeight="1">
      <c r="J127" s="73"/>
      <c r="Q127" s="73"/>
    </row>
    <row r="128" spans="10:48" ht="17.100000000000001" customHeight="1">
      <c r="J128" s="73"/>
      <c r="Q128" s="73"/>
    </row>
    <row r="129" spans="9:16" ht="17.100000000000001" customHeight="1"/>
    <row r="130" spans="9:16" ht="17.100000000000001" customHeight="1"/>
    <row r="131" spans="9:16" ht="17.100000000000001" customHeight="1"/>
    <row r="132" spans="9:16" ht="14.45" customHeight="1">
      <c r="I132" s="145"/>
      <c r="P132" s="145"/>
    </row>
  </sheetData>
  <sheetProtection algorithmName="SHA-512" hashValue="OP4NGVJVwqqYEJEA2al8Nv4hLdXlSIUhavbPih6scBUbV5/+O1c1IiailONPrkIdioPK5BARoYuMWPYUC3+Ngg==" saltValue="y1dq2E8f+8VyEOfnwnf59A==" spinCount="100000" sheet="1" objects="1" scenarios="1"/>
  <sortState xmlns:xlrd2="http://schemas.microsoft.com/office/spreadsheetml/2017/richdata2" ref="AN3:AO18">
    <sortCondition ref="AN3:AN18"/>
  </sortState>
  <mergeCells count="29">
    <mergeCell ref="Y60:AA60"/>
    <mergeCell ref="P59:R59"/>
    <mergeCell ref="I59:K59"/>
    <mergeCell ref="Y12:AA13"/>
    <mergeCell ref="Z32:AA32"/>
    <mergeCell ref="Z14:AA14"/>
    <mergeCell ref="Z16:AA16"/>
    <mergeCell ref="K27:K28"/>
    <mergeCell ref="R27:R28"/>
    <mergeCell ref="Z17:AA17"/>
    <mergeCell ref="Z18:AA18"/>
    <mergeCell ref="Z19:AA19"/>
    <mergeCell ref="Z20:AA20"/>
    <mergeCell ref="C36:E36"/>
    <mergeCell ref="C37:E37"/>
    <mergeCell ref="AW1:AX1"/>
    <mergeCell ref="I11:K11"/>
    <mergeCell ref="AP23:AR24"/>
    <mergeCell ref="C11:E11"/>
    <mergeCell ref="AS1:AT1"/>
    <mergeCell ref="AN1:AO1"/>
    <mergeCell ref="AP1:AR1"/>
    <mergeCell ref="AU1:AV1"/>
    <mergeCell ref="Y9:AC9"/>
    <mergeCell ref="Y11:AA11"/>
    <mergeCell ref="C9:R9"/>
    <mergeCell ref="Y10:AA10"/>
    <mergeCell ref="P11:R11"/>
    <mergeCell ref="E23:E24"/>
  </mergeCells>
  <conditionalFormatting sqref="Z32">
    <cfRule type="containsText" dxfId="19" priority="1" operator="containsText" text="NO">
      <formula>NOT(ISERROR(SEARCH("NO",Z32)))</formula>
    </cfRule>
    <cfRule type="containsText" dxfId="18" priority="2" operator="containsText" text="YES">
      <formula>NOT(ISERROR(SEARCH("YES",Z32)))</formula>
    </cfRule>
  </conditionalFormatting>
  <dataValidations count="6">
    <dataValidation type="list" allowBlank="1" showInputMessage="1" showErrorMessage="1" sqref="AA30" xr:uid="{9C73BC7B-873A-4F34-A4E9-98604398CC45}">
      <formula1>"Select,Optimal,Subcontractor"</formula1>
    </dataValidation>
    <dataValidation type="list" allowBlank="1" showInputMessage="1" showErrorMessage="1" sqref="Z19" xr:uid="{6BFA349B-0E1B-4767-9981-81B41A9C57B1}">
      <formula1>"SELECT HOURS OR DAYS,Hours,Days"</formula1>
    </dataValidation>
    <dataValidation type="list" allowBlank="1" showInputMessage="1" showErrorMessage="1" sqref="K13 R13" xr:uid="{68CD85EB-FDDE-49B4-B87D-7968A812A31C}">
      <formula1>$AN$2:$AN$17</formula1>
    </dataValidation>
    <dataValidation type="list" allowBlank="1" showInputMessage="1" showErrorMessage="1" sqref="Z16" xr:uid="{29AE53E8-6A66-484C-8413-CF4EF078AF65}">
      <formula1>$BB$1:$BB$18</formula1>
    </dataValidation>
    <dataValidation type="list" allowBlank="1" showInputMessage="1" showErrorMessage="1" sqref="E13" xr:uid="{CC2F79D5-2D3E-48DA-9626-BCA9AF2B9A17}">
      <formula1>$AN$2:$AN$20</formula1>
    </dataValidation>
    <dataValidation type="list" allowBlank="1" showInputMessage="1" showErrorMessage="1" sqref="Y28 P27 C23 I27" xr:uid="{7461BF1B-F6E5-4521-8A1C-BCB086823FAB}">
      <formula1>$AY:$AY</formula1>
    </dataValidation>
  </dataValidations>
  <pageMargins left="0.7" right="0.7" top="0.75" bottom="0.75" header="0.3" footer="0.3"/>
  <pageSetup paperSize="9" scale="53" fitToWidth="0"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3" id="{3834CB8C-2601-43E7-B55C-AD1CE52EF0A1}">
            <x14:iconSet iconSet="3Symbols2" showValue="0" custom="1">
              <x14:cfvo type="percent">
                <xm:f>0</xm:f>
              </x14:cfvo>
              <x14:cfvo type="num" gte="0">
                <xm:f>99</xm:f>
              </x14:cfvo>
              <x14:cfvo type="num">
                <xm:f>100</xm:f>
              </x14:cfvo>
              <x14:cfIcon iconSet="3Symbols2" iconId="0"/>
              <x14:cfIcon iconSet="3Symbols2" iconId="0"/>
              <x14:cfIcon iconSet="3Symbols2" iconId="2"/>
            </x14:iconSet>
          </x14:cfRule>
          <xm:sqref>Z30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34"/>
  <sheetViews>
    <sheetView topLeftCell="A13" workbookViewId="0">
      <selection activeCell="A13" sqref="A13"/>
    </sheetView>
  </sheetViews>
  <sheetFormatPr defaultColWidth="9.140625" defaultRowHeight="15"/>
  <cols>
    <col min="1" max="1" width="30.5703125" style="373" customWidth="1"/>
    <col min="2" max="2" width="23.5703125" style="373" customWidth="1"/>
    <col min="3" max="3" width="22.7109375" style="373" customWidth="1"/>
    <col min="4" max="4" width="23" style="373" customWidth="1"/>
    <col min="5" max="5" width="24.5703125" style="373" customWidth="1"/>
    <col min="6" max="6" width="14.42578125" style="238" customWidth="1"/>
    <col min="7" max="16384" width="9.140625" style="373"/>
  </cols>
  <sheetData>
    <row r="1" spans="1:6">
      <c r="A1" s="438" t="s">
        <v>201</v>
      </c>
      <c r="B1" s="438"/>
      <c r="C1" s="438"/>
      <c r="D1" s="438"/>
      <c r="E1" s="438"/>
      <c r="F1" s="438"/>
    </row>
    <row r="2" spans="1:6" ht="15" customHeight="1">
      <c r="A2" s="374" t="s">
        <v>202</v>
      </c>
      <c r="B2" s="439" t="s">
        <v>203</v>
      </c>
      <c r="C2" s="440"/>
      <c r="D2" s="440"/>
      <c r="E2" s="375" t="s">
        <v>204</v>
      </c>
      <c r="F2" s="375" t="s">
        <v>205</v>
      </c>
    </row>
    <row r="3" spans="1:6">
      <c r="A3" s="376" t="s">
        <v>206</v>
      </c>
      <c r="B3" s="377" t="s">
        <v>207</v>
      </c>
      <c r="C3" s="377" t="s">
        <v>208</v>
      </c>
      <c r="D3" s="377" t="s">
        <v>209</v>
      </c>
      <c r="E3" s="378" t="s">
        <v>210</v>
      </c>
      <c r="F3" s="379" t="s">
        <v>211</v>
      </c>
    </row>
    <row r="4" spans="1:6">
      <c r="A4" s="380" t="s">
        <v>212</v>
      </c>
      <c r="B4" s="381" t="s">
        <v>213</v>
      </c>
      <c r="C4" s="381" t="s">
        <v>214</v>
      </c>
      <c r="D4" s="381"/>
      <c r="E4" s="382" t="s">
        <v>215</v>
      </c>
      <c r="F4" s="383" t="s">
        <v>216</v>
      </c>
    </row>
    <row r="5" spans="1:6">
      <c r="A5" s="384" t="s">
        <v>217</v>
      </c>
      <c r="B5" s="441" t="s">
        <v>218</v>
      </c>
      <c r="C5" s="442"/>
      <c r="D5" s="442"/>
      <c r="E5" s="385" t="s">
        <v>204</v>
      </c>
      <c r="F5" s="386" t="s">
        <v>205</v>
      </c>
    </row>
    <row r="6" spans="1:6">
      <c r="A6" s="387" t="s">
        <v>219</v>
      </c>
      <c r="B6" s="388" t="s">
        <v>220</v>
      </c>
      <c r="C6" s="388" t="s">
        <v>221</v>
      </c>
      <c r="D6" s="388" t="s">
        <v>222</v>
      </c>
      <c r="E6" s="389" t="s">
        <v>223</v>
      </c>
      <c r="F6" s="390">
        <v>7366142244</v>
      </c>
    </row>
    <row r="7" spans="1:6">
      <c r="A7" s="391" t="s">
        <v>224</v>
      </c>
      <c r="B7" s="388" t="s">
        <v>225</v>
      </c>
      <c r="C7" s="388" t="s">
        <v>226</v>
      </c>
      <c r="D7" s="388" t="s">
        <v>227</v>
      </c>
      <c r="E7" s="389" t="s">
        <v>228</v>
      </c>
      <c r="F7" s="392" t="s">
        <v>229</v>
      </c>
    </row>
    <row r="8" spans="1:6">
      <c r="A8" s="393" t="s">
        <v>230</v>
      </c>
      <c r="B8" s="394" t="s">
        <v>231</v>
      </c>
      <c r="C8" s="394" t="s">
        <v>232</v>
      </c>
      <c r="D8" s="394"/>
      <c r="E8" s="395" t="s">
        <v>233</v>
      </c>
      <c r="F8" s="392" t="s">
        <v>234</v>
      </c>
    </row>
    <row r="9" spans="1:6">
      <c r="A9" s="391" t="s">
        <v>235</v>
      </c>
      <c r="B9" s="388" t="s">
        <v>236</v>
      </c>
      <c r="C9" s="388" t="s">
        <v>237</v>
      </c>
      <c r="D9" s="388" t="s">
        <v>225</v>
      </c>
      <c r="E9" s="389" t="s">
        <v>238</v>
      </c>
      <c r="F9" s="392">
        <v>7401304430</v>
      </c>
    </row>
    <row r="10" spans="1:6">
      <c r="A10" s="391" t="s">
        <v>239</v>
      </c>
      <c r="B10" s="388" t="s">
        <v>231</v>
      </c>
      <c r="C10" s="388" t="s">
        <v>240</v>
      </c>
      <c r="D10" s="388" t="s">
        <v>241</v>
      </c>
      <c r="E10" s="389" t="s">
        <v>242</v>
      </c>
      <c r="F10" s="392">
        <v>7404707472</v>
      </c>
    </row>
    <row r="11" spans="1:6">
      <c r="A11" s="391" t="s">
        <v>243</v>
      </c>
      <c r="B11" s="388" t="s">
        <v>236</v>
      </c>
      <c r="C11" s="388" t="s">
        <v>240</v>
      </c>
      <c r="D11" s="388" t="s">
        <v>241</v>
      </c>
      <c r="E11" s="389" t="s">
        <v>244</v>
      </c>
      <c r="F11" s="392">
        <v>7875104122</v>
      </c>
    </row>
    <row r="12" spans="1:6">
      <c r="A12" s="393" t="s">
        <v>245</v>
      </c>
      <c r="B12" s="394" t="s">
        <v>246</v>
      </c>
      <c r="C12" s="394" t="s">
        <v>247</v>
      </c>
      <c r="D12" s="394" t="s">
        <v>248</v>
      </c>
      <c r="E12" s="395" t="s">
        <v>249</v>
      </c>
      <c r="F12" s="392">
        <v>7500798534</v>
      </c>
    </row>
    <row r="13" spans="1:6">
      <c r="A13" s="393" t="s">
        <v>250</v>
      </c>
      <c r="B13" s="394" t="s">
        <v>236</v>
      </c>
      <c r="C13" s="394" t="s">
        <v>251</v>
      </c>
      <c r="D13" s="394" t="s">
        <v>252</v>
      </c>
      <c r="E13" s="396" t="s">
        <v>253</v>
      </c>
      <c r="F13" s="392" t="s">
        <v>254</v>
      </c>
    </row>
    <row r="14" spans="1:6">
      <c r="A14" s="397" t="s">
        <v>255</v>
      </c>
      <c r="B14" s="443" t="s">
        <v>218</v>
      </c>
      <c r="C14" s="444"/>
      <c r="D14" s="445"/>
      <c r="E14" s="398" t="s">
        <v>256</v>
      </c>
      <c r="F14" s="398" t="s">
        <v>205</v>
      </c>
    </row>
    <row r="15" spans="1:6">
      <c r="A15" s="399" t="s">
        <v>257</v>
      </c>
      <c r="B15" s="394" t="s">
        <v>258</v>
      </c>
      <c r="C15" s="394" t="s">
        <v>259</v>
      </c>
      <c r="D15" s="394"/>
      <c r="E15" s="395" t="s">
        <v>260</v>
      </c>
      <c r="F15" s="400">
        <v>7882752178</v>
      </c>
    </row>
    <row r="16" spans="1:6">
      <c r="A16" s="399" t="s">
        <v>261</v>
      </c>
      <c r="B16" s="394" t="s">
        <v>262</v>
      </c>
      <c r="C16" s="394" t="s">
        <v>263</v>
      </c>
      <c r="D16" s="394" t="s">
        <v>264</v>
      </c>
      <c r="E16" s="395" t="s">
        <v>265</v>
      </c>
      <c r="F16" s="400">
        <v>2030950959</v>
      </c>
    </row>
    <row r="17" spans="1:6">
      <c r="A17" s="399" t="s">
        <v>266</v>
      </c>
      <c r="B17" s="394" t="s">
        <v>262</v>
      </c>
      <c r="C17" s="394" t="s">
        <v>267</v>
      </c>
      <c r="D17" s="394" t="s">
        <v>263</v>
      </c>
      <c r="E17" s="395" t="s">
        <v>268</v>
      </c>
      <c r="F17" s="400">
        <v>7304093277</v>
      </c>
    </row>
    <row r="18" spans="1:6">
      <c r="A18" s="401" t="s">
        <v>269</v>
      </c>
      <c r="B18" s="394" t="s">
        <v>270</v>
      </c>
      <c r="C18" s="394" t="s">
        <v>236</v>
      </c>
      <c r="D18" s="394" t="s">
        <v>271</v>
      </c>
      <c r="E18" s="395" t="s">
        <v>268</v>
      </c>
      <c r="F18" s="400">
        <v>7881201544</v>
      </c>
    </row>
    <row r="19" spans="1:6">
      <c r="A19" s="399" t="s">
        <v>272</v>
      </c>
      <c r="B19" s="394" t="s">
        <v>273</v>
      </c>
      <c r="C19" s="394" t="s">
        <v>274</v>
      </c>
      <c r="D19" s="394" t="s">
        <v>275</v>
      </c>
      <c r="E19" s="395" t="s">
        <v>276</v>
      </c>
      <c r="F19" s="400" t="s">
        <v>277</v>
      </c>
    </row>
    <row r="20" spans="1:6">
      <c r="A20" s="399" t="s">
        <v>278</v>
      </c>
      <c r="B20" s="394" t="s">
        <v>279</v>
      </c>
      <c r="C20" s="394" t="s">
        <v>280</v>
      </c>
      <c r="D20" s="394" t="s">
        <v>281</v>
      </c>
      <c r="E20" s="395" t="s">
        <v>265</v>
      </c>
      <c r="F20" s="400">
        <v>7507516555</v>
      </c>
    </row>
    <row r="21" spans="1:6">
      <c r="A21" s="399" t="s">
        <v>282</v>
      </c>
      <c r="B21" s="394" t="s">
        <v>283</v>
      </c>
      <c r="C21" s="394" t="s">
        <v>284</v>
      </c>
      <c r="D21" s="394" t="s">
        <v>285</v>
      </c>
      <c r="E21" s="395" t="s">
        <v>286</v>
      </c>
      <c r="F21" s="400">
        <v>7479993666</v>
      </c>
    </row>
    <row r="22" spans="1:6">
      <c r="A22" s="399" t="s">
        <v>287</v>
      </c>
      <c r="B22" s="394" t="s">
        <v>288</v>
      </c>
      <c r="C22" s="394" t="s">
        <v>284</v>
      </c>
      <c r="D22" s="394" t="s">
        <v>289</v>
      </c>
      <c r="E22" s="395" t="s">
        <v>290</v>
      </c>
      <c r="F22" s="400" t="s">
        <v>291</v>
      </c>
    </row>
    <row r="23" spans="1:6">
      <c r="A23" s="401" t="s">
        <v>292</v>
      </c>
      <c r="B23" s="394" t="s">
        <v>293</v>
      </c>
      <c r="C23" s="394" t="s">
        <v>294</v>
      </c>
      <c r="D23" s="394" t="s">
        <v>295</v>
      </c>
      <c r="E23" s="395" t="s">
        <v>268</v>
      </c>
      <c r="F23" s="400"/>
    </row>
    <row r="24" spans="1:6">
      <c r="A24" s="399" t="s">
        <v>296</v>
      </c>
      <c r="B24" s="394" t="s">
        <v>297</v>
      </c>
      <c r="C24" s="394" t="s">
        <v>298</v>
      </c>
      <c r="D24" s="394" t="s">
        <v>271</v>
      </c>
      <c r="E24" s="395" t="s">
        <v>268</v>
      </c>
      <c r="F24" s="400">
        <v>7947653076</v>
      </c>
    </row>
    <row r="25" spans="1:6">
      <c r="A25" s="399" t="s">
        <v>299</v>
      </c>
      <c r="B25" s="394" t="s">
        <v>300</v>
      </c>
      <c r="C25" s="394" t="s">
        <v>301</v>
      </c>
      <c r="D25" s="394" t="s">
        <v>302</v>
      </c>
      <c r="E25" s="395" t="s">
        <v>268</v>
      </c>
      <c r="F25" s="400">
        <v>7853238445</v>
      </c>
    </row>
    <row r="26" spans="1:6">
      <c r="A26" s="399" t="s">
        <v>303</v>
      </c>
      <c r="B26" s="394" t="s">
        <v>304</v>
      </c>
      <c r="C26" s="394" t="s">
        <v>270</v>
      </c>
      <c r="D26" s="394" t="s">
        <v>262</v>
      </c>
      <c r="E26" s="395" t="s">
        <v>305</v>
      </c>
      <c r="F26" s="400" t="s">
        <v>306</v>
      </c>
    </row>
    <row r="27" spans="1:6">
      <c r="A27" s="399" t="s">
        <v>307</v>
      </c>
      <c r="B27" s="394" t="s">
        <v>308</v>
      </c>
      <c r="C27" s="394" t="s">
        <v>262</v>
      </c>
      <c r="D27" s="394"/>
      <c r="E27" s="395" t="s">
        <v>305</v>
      </c>
      <c r="F27" s="400">
        <v>2077333533</v>
      </c>
    </row>
    <row r="28" spans="1:6">
      <c r="A28" s="402" t="s">
        <v>309</v>
      </c>
      <c r="B28" s="402"/>
      <c r="C28" s="402"/>
      <c r="D28" s="402"/>
      <c r="E28" s="402"/>
      <c r="F28" s="403"/>
    </row>
    <row r="29" spans="1:6">
      <c r="A29" s="404" t="s">
        <v>310</v>
      </c>
      <c r="B29" s="404"/>
      <c r="C29" s="404"/>
      <c r="D29" s="404"/>
      <c r="E29" s="404"/>
      <c r="F29" s="405"/>
    </row>
    <row r="30" spans="1:6">
      <c r="A30" s="404" t="s">
        <v>311</v>
      </c>
      <c r="B30" s="404"/>
      <c r="C30" s="404"/>
      <c r="D30" s="404"/>
      <c r="E30" s="404"/>
      <c r="F30" s="405"/>
    </row>
    <row r="31" spans="1:6">
      <c r="A31" s="404" t="s">
        <v>312</v>
      </c>
      <c r="B31" s="404"/>
      <c r="C31" s="404"/>
      <c r="D31" s="404"/>
      <c r="E31" s="404"/>
      <c r="F31" s="405"/>
    </row>
    <row r="32" spans="1:6">
      <c r="A32" s="404" t="s">
        <v>313</v>
      </c>
      <c r="B32" s="404"/>
      <c r="C32" s="404"/>
      <c r="D32" s="404"/>
      <c r="E32" s="404"/>
      <c r="F32" s="405"/>
    </row>
    <row r="33" spans="1:6">
      <c r="A33" s="404" t="s">
        <v>314</v>
      </c>
      <c r="B33" s="404"/>
      <c r="C33" s="404"/>
      <c r="D33" s="404"/>
      <c r="E33" s="404"/>
      <c r="F33" s="405"/>
    </row>
    <row r="34" spans="1:6">
      <c r="A34" s="404" t="s">
        <v>315</v>
      </c>
      <c r="B34" s="404"/>
      <c r="C34" s="404"/>
      <c r="D34" s="404"/>
      <c r="E34" s="404"/>
      <c r="F34" s="405"/>
    </row>
  </sheetData>
  <sheetProtection algorithmName="SHA-512" hashValue="BoLOfwZh7ezo/m6FOjA1HEZ5rweEF+WsgHejIlJz/+tixOEt34Aw7mwYgELSc3Nh8LRowSbFIoPEdOKBxbQe7A==" saltValue="DJPflI71c9ALlw0eOFbyMw==" spinCount="100000" sheet="1" objects="1" scenarios="1"/>
  <mergeCells count="4">
    <mergeCell ref="A1:F1"/>
    <mergeCell ref="B2:D2"/>
    <mergeCell ref="B5:D5"/>
    <mergeCell ref="B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FFE99-AE06-4C66-BFEA-5E28FBCCD29D}">
  <sheetPr codeName="Sheet3">
    <tabColor rgb="FFFFC000"/>
  </sheetPr>
  <dimension ref="B1:N493"/>
  <sheetViews>
    <sheetView zoomScale="70" zoomScaleNormal="70" workbookViewId="0">
      <selection activeCell="C15" sqref="C15:C16"/>
    </sheetView>
  </sheetViews>
  <sheetFormatPr defaultColWidth="9" defaultRowHeight="15"/>
  <cols>
    <col min="1" max="1" width="35.85546875" style="1" customWidth="1"/>
    <col min="2" max="2" width="47" style="1" customWidth="1"/>
    <col min="3" max="3" width="35.140625" style="1" customWidth="1"/>
    <col min="4" max="4" width="37.5703125" style="259" customWidth="1"/>
    <col min="5" max="5" width="21.28515625" style="1" bestFit="1" customWidth="1"/>
    <col min="6" max="6" width="38.42578125" style="6" bestFit="1" customWidth="1"/>
    <col min="7" max="7" width="26.85546875" style="55" customWidth="1"/>
    <col min="8" max="8" width="37.85546875" style="6" customWidth="1"/>
    <col min="9" max="9" width="38.5703125" style="259" customWidth="1"/>
    <col min="10" max="10" width="24.5703125" style="55" customWidth="1"/>
    <col min="11" max="11" width="20.140625" style="55" customWidth="1"/>
    <col min="12" max="12" width="19.85546875" style="1" customWidth="1"/>
    <col min="13" max="16384" width="9" style="1"/>
  </cols>
  <sheetData>
    <row r="1" spans="2:14" ht="31.5" customHeight="1">
      <c r="B1" s="447" t="s">
        <v>316</v>
      </c>
      <c r="C1" s="447"/>
      <c r="D1" s="447"/>
      <c r="E1" s="447"/>
      <c r="F1" s="447"/>
      <c r="G1" s="447"/>
      <c r="H1" s="447"/>
      <c r="I1" s="448"/>
      <c r="J1" s="446" t="s">
        <v>317</v>
      </c>
      <c r="K1" s="446"/>
      <c r="L1" s="446"/>
    </row>
    <row r="2" spans="2:14" s="307" customFormat="1" ht="15.75">
      <c r="B2" s="301" t="s">
        <v>42</v>
      </c>
      <c r="C2" s="301" t="s">
        <v>318</v>
      </c>
      <c r="D2" s="302" t="s">
        <v>319</v>
      </c>
      <c r="E2" s="301" t="s">
        <v>320</v>
      </c>
      <c r="F2" s="301" t="s">
        <v>321</v>
      </c>
      <c r="G2" s="303" t="s">
        <v>322</v>
      </c>
      <c r="H2" s="304" t="s">
        <v>323</v>
      </c>
      <c r="I2" s="305" t="s">
        <v>324</v>
      </c>
      <c r="J2" s="306" t="s">
        <v>325</v>
      </c>
      <c r="K2" s="304" t="s">
        <v>326</v>
      </c>
      <c r="L2" s="304" t="s">
        <v>327</v>
      </c>
    </row>
    <row r="3" spans="2:14" hidden="1">
      <c r="B3" s="169" t="s">
        <v>328</v>
      </c>
      <c r="C3" s="313" t="s">
        <v>329</v>
      </c>
      <c r="D3" s="274"/>
      <c r="E3" s="270" t="s">
        <v>330</v>
      </c>
      <c r="F3" s="1" t="s">
        <v>331</v>
      </c>
      <c r="G3" s="271">
        <v>2085787327</v>
      </c>
      <c r="H3" s="58" t="s">
        <v>332</v>
      </c>
      <c r="I3" s="275"/>
      <c r="J3" s="58" t="s">
        <v>136</v>
      </c>
      <c r="K3" s="273"/>
      <c r="L3" s="264"/>
    </row>
    <row r="4" spans="2:14" s="56" customFormat="1" hidden="1">
      <c r="B4" s="169" t="s">
        <v>333</v>
      </c>
      <c r="C4" s="169" t="s">
        <v>240</v>
      </c>
      <c r="D4" s="169" t="s">
        <v>334</v>
      </c>
      <c r="E4" s="278" t="s">
        <v>335</v>
      </c>
      <c r="F4" s="169" t="s">
        <v>336</v>
      </c>
      <c r="G4" s="309" t="s">
        <v>337</v>
      </c>
      <c r="H4" s="58" t="s">
        <v>338</v>
      </c>
      <c r="I4" s="275"/>
      <c r="J4" s="58" t="s">
        <v>339</v>
      </c>
      <c r="K4" s="276" t="s">
        <v>338</v>
      </c>
      <c r="L4" s="276" t="s">
        <v>338</v>
      </c>
      <c r="M4" s="68"/>
      <c r="N4" s="68"/>
    </row>
    <row r="5" spans="2:14" s="56" customFormat="1" hidden="1">
      <c r="B5" s="169" t="s">
        <v>340</v>
      </c>
      <c r="C5" s="169" t="s">
        <v>341</v>
      </c>
      <c r="D5" s="274"/>
      <c r="E5" s="270"/>
      <c r="F5" s="1" t="s">
        <v>342</v>
      </c>
      <c r="G5" s="271">
        <v>2073728899</v>
      </c>
      <c r="H5" s="58" t="s">
        <v>332</v>
      </c>
      <c r="I5" s="275"/>
      <c r="J5" s="58" t="s">
        <v>136</v>
      </c>
      <c r="K5" s="281"/>
      <c r="L5" s="264"/>
      <c r="M5" s="68"/>
      <c r="N5" s="68"/>
    </row>
    <row r="6" spans="2:14" s="56" customFormat="1" hidden="1">
      <c r="B6" s="57" t="s">
        <v>343</v>
      </c>
      <c r="C6" s="169" t="s">
        <v>341</v>
      </c>
      <c r="D6" s="260" t="s">
        <v>344</v>
      </c>
      <c r="E6" s="64" t="s">
        <v>345</v>
      </c>
      <c r="F6" s="313" t="s">
        <v>346</v>
      </c>
      <c r="G6" s="355" t="s">
        <v>347</v>
      </c>
      <c r="H6" s="58" t="s">
        <v>332</v>
      </c>
      <c r="I6" s="255"/>
      <c r="J6" s="58" t="s">
        <v>136</v>
      </c>
      <c r="K6" s="65"/>
      <c r="L6" s="264"/>
      <c r="M6" s="68"/>
      <c r="N6" s="68"/>
    </row>
    <row r="7" spans="2:14" s="56" customFormat="1" hidden="1">
      <c r="B7" s="269" t="s">
        <v>348</v>
      </c>
      <c r="C7" s="269" t="s">
        <v>341</v>
      </c>
      <c r="D7" s="268" t="s">
        <v>349</v>
      </c>
      <c r="E7" s="341" t="s">
        <v>348</v>
      </c>
      <c r="F7" s="266" t="s">
        <v>350</v>
      </c>
      <c r="G7" s="355">
        <v>7305522048</v>
      </c>
      <c r="H7" s="58" t="s">
        <v>332</v>
      </c>
      <c r="I7" s="279"/>
      <c r="J7" s="58" t="s">
        <v>136</v>
      </c>
      <c r="K7" s="338"/>
      <c r="L7" s="266"/>
      <c r="M7" s="68"/>
      <c r="N7" s="68"/>
    </row>
    <row r="8" spans="2:14" s="56" customFormat="1" hidden="1">
      <c r="B8" s="169" t="s">
        <v>351</v>
      </c>
      <c r="C8" s="169" t="s">
        <v>341</v>
      </c>
      <c r="D8" s="274"/>
      <c r="E8" s="341" t="s">
        <v>351</v>
      </c>
      <c r="F8" s="264" t="s">
        <v>352</v>
      </c>
      <c r="G8" s="356" t="s">
        <v>353</v>
      </c>
      <c r="H8" s="58" t="s">
        <v>338</v>
      </c>
      <c r="I8" s="275"/>
      <c r="J8" s="58" t="s">
        <v>354</v>
      </c>
      <c r="K8" s="250" t="s">
        <v>332</v>
      </c>
      <c r="L8" s="276" t="s">
        <v>338</v>
      </c>
      <c r="M8" s="68"/>
      <c r="N8" s="68"/>
    </row>
    <row r="9" spans="2:14" s="56" customFormat="1" hidden="1">
      <c r="B9" s="169" t="s">
        <v>355</v>
      </c>
      <c r="C9" s="169" t="s">
        <v>341</v>
      </c>
      <c r="D9" s="274"/>
      <c r="E9" s="341" t="s">
        <v>356</v>
      </c>
      <c r="F9" s="264" t="s">
        <v>357</v>
      </c>
      <c r="G9" s="356" t="s">
        <v>358</v>
      </c>
      <c r="H9" s="61" t="s">
        <v>338</v>
      </c>
      <c r="I9" s="275"/>
      <c r="J9" s="58" t="s">
        <v>354</v>
      </c>
      <c r="K9" s="250" t="s">
        <v>332</v>
      </c>
      <c r="L9" s="276" t="s">
        <v>338</v>
      </c>
      <c r="M9" s="68"/>
      <c r="N9" s="68"/>
    </row>
    <row r="10" spans="2:14" s="60" customFormat="1" hidden="1">
      <c r="B10" s="57" t="s">
        <v>359</v>
      </c>
      <c r="C10" s="169" t="s">
        <v>341</v>
      </c>
      <c r="D10" s="260"/>
      <c r="E10" s="64" t="s">
        <v>360</v>
      </c>
      <c r="F10" s="313" t="s">
        <v>361</v>
      </c>
      <c r="G10" s="277" t="s">
        <v>362</v>
      </c>
      <c r="H10" s="250" t="s">
        <v>338</v>
      </c>
      <c r="I10" s="255"/>
      <c r="J10" s="58">
        <v>45928</v>
      </c>
      <c r="K10" s="65" t="s">
        <v>332</v>
      </c>
      <c r="L10" s="276" t="s">
        <v>338</v>
      </c>
      <c r="M10" s="7"/>
      <c r="N10" s="7"/>
    </row>
    <row r="11" spans="2:14" s="56" customFormat="1" hidden="1">
      <c r="B11" s="169" t="s">
        <v>363</v>
      </c>
      <c r="C11" s="169" t="s">
        <v>341</v>
      </c>
      <c r="D11" s="274"/>
      <c r="E11" s="340" t="s">
        <v>364</v>
      </c>
      <c r="F11" s="264" t="s">
        <v>365</v>
      </c>
      <c r="G11" s="6" t="s">
        <v>366</v>
      </c>
      <c r="H11" s="250" t="s">
        <v>332</v>
      </c>
      <c r="I11" s="275"/>
      <c r="J11" s="58" t="s">
        <v>136</v>
      </c>
      <c r="K11" s="281"/>
      <c r="L11" s="264"/>
      <c r="M11" s="68"/>
      <c r="N11" s="68"/>
    </row>
    <row r="12" spans="2:14" s="56" customFormat="1" hidden="1">
      <c r="B12" s="169" t="s">
        <v>367</v>
      </c>
      <c r="C12" s="169" t="s">
        <v>341</v>
      </c>
      <c r="D12" s="274" t="s">
        <v>368</v>
      </c>
      <c r="E12" s="340" t="s">
        <v>367</v>
      </c>
      <c r="F12" s="264" t="s">
        <v>369</v>
      </c>
      <c r="G12" s="277" t="s">
        <v>370</v>
      </c>
      <c r="H12" s="281" t="s">
        <v>338</v>
      </c>
      <c r="I12" s="275"/>
      <c r="J12" s="58" t="s">
        <v>136</v>
      </c>
      <c r="K12" s="281"/>
      <c r="L12" s="276" t="s">
        <v>338</v>
      </c>
      <c r="M12" s="68"/>
      <c r="N12" s="68"/>
    </row>
    <row r="13" spans="2:14" s="56" customFormat="1" hidden="1">
      <c r="B13" s="169" t="s">
        <v>371</v>
      </c>
      <c r="C13" s="169" t="s">
        <v>341</v>
      </c>
      <c r="D13" s="274"/>
      <c r="E13" s="340" t="s">
        <v>372</v>
      </c>
      <c r="F13" s="264" t="s">
        <v>373</v>
      </c>
      <c r="G13" s="277" t="s">
        <v>374</v>
      </c>
      <c r="H13" s="281" t="s">
        <v>338</v>
      </c>
      <c r="I13" s="275"/>
      <c r="J13" s="330"/>
      <c r="K13" s="281"/>
      <c r="L13" s="276" t="s">
        <v>338</v>
      </c>
      <c r="M13" s="68"/>
      <c r="N13" s="68"/>
    </row>
    <row r="14" spans="2:14" s="56" customFormat="1" hidden="1">
      <c r="B14" s="57" t="s">
        <v>375</v>
      </c>
      <c r="C14" s="57" t="s">
        <v>376</v>
      </c>
      <c r="D14" s="260"/>
      <c r="E14" s="59" t="s">
        <v>377</v>
      </c>
      <c r="F14" s="324" t="s">
        <v>378</v>
      </c>
      <c r="G14" s="280" t="s">
        <v>379</v>
      </c>
      <c r="H14" s="250" t="s">
        <v>332</v>
      </c>
      <c r="I14" s="255"/>
      <c r="J14" s="58" t="s">
        <v>136</v>
      </c>
      <c r="K14" s="65"/>
      <c r="L14" s="264"/>
      <c r="M14" s="68"/>
      <c r="N14" s="68"/>
    </row>
    <row r="15" spans="2:14" s="56" customFormat="1" hidden="1">
      <c r="B15" s="57" t="s">
        <v>380</v>
      </c>
      <c r="C15" s="57" t="s">
        <v>376</v>
      </c>
      <c r="D15" s="260"/>
      <c r="E15" s="59"/>
      <c r="F15" s="324" t="s">
        <v>381</v>
      </c>
      <c r="G15" s="280" t="s">
        <v>382</v>
      </c>
      <c r="H15" s="250" t="s">
        <v>332</v>
      </c>
      <c r="I15" s="255"/>
      <c r="J15" s="58" t="s">
        <v>136</v>
      </c>
      <c r="K15" s="250"/>
      <c r="L15" s="264"/>
      <c r="M15" s="68"/>
      <c r="N15" s="68"/>
    </row>
    <row r="16" spans="2:14" s="56" customFormat="1" hidden="1">
      <c r="B16" s="169" t="s">
        <v>383</v>
      </c>
      <c r="C16" s="169" t="s">
        <v>376</v>
      </c>
      <c r="D16" s="274"/>
      <c r="E16" s="270" t="s">
        <v>384</v>
      </c>
      <c r="F16" s="1" t="s">
        <v>385</v>
      </c>
      <c r="G16" s="280" t="s">
        <v>386</v>
      </c>
      <c r="H16" s="281" t="s">
        <v>338</v>
      </c>
      <c r="I16" s="293"/>
      <c r="J16" s="330"/>
      <c r="K16" s="273"/>
      <c r="L16" s="276" t="s">
        <v>338</v>
      </c>
      <c r="M16" s="68"/>
      <c r="N16" s="68"/>
    </row>
    <row r="17" spans="2:14" s="56" customFormat="1" hidden="1">
      <c r="B17" s="169" t="s">
        <v>387</v>
      </c>
      <c r="C17" s="169" t="s">
        <v>388</v>
      </c>
      <c r="D17" s="320"/>
      <c r="E17" s="270" t="s">
        <v>389</v>
      </c>
      <c r="F17" s="169" t="s">
        <v>390</v>
      </c>
      <c r="G17" s="280" t="s">
        <v>391</v>
      </c>
      <c r="H17" s="250" t="s">
        <v>332</v>
      </c>
      <c r="I17" s="333"/>
      <c r="J17" s="58" t="s">
        <v>136</v>
      </c>
      <c r="K17" s="281"/>
      <c r="L17" s="264"/>
      <c r="M17" s="68"/>
      <c r="N17" s="68"/>
    </row>
    <row r="18" spans="2:14" s="56" customFormat="1" hidden="1">
      <c r="B18" s="169" t="s">
        <v>392</v>
      </c>
      <c r="C18" s="169" t="s">
        <v>388</v>
      </c>
      <c r="D18" s="274"/>
      <c r="E18" s="278" t="s">
        <v>393</v>
      </c>
      <c r="F18" s="1" t="s">
        <v>394</v>
      </c>
      <c r="G18" s="310" t="s">
        <v>395</v>
      </c>
      <c r="H18" s="250" t="s">
        <v>338</v>
      </c>
      <c r="I18" s="287"/>
      <c r="J18" s="58" t="s">
        <v>354</v>
      </c>
      <c r="K18" s="66" t="s">
        <v>332</v>
      </c>
      <c r="L18" s="283" t="s">
        <v>338</v>
      </c>
      <c r="M18" s="68"/>
      <c r="N18" s="68"/>
    </row>
    <row r="19" spans="2:14" s="56" customFormat="1" hidden="1">
      <c r="B19" s="57" t="s">
        <v>396</v>
      </c>
      <c r="C19" s="169" t="s">
        <v>397</v>
      </c>
      <c r="D19" s="260" t="s">
        <v>398</v>
      </c>
      <c r="E19" s="59" t="s">
        <v>399</v>
      </c>
      <c r="F19" s="57" t="s">
        <v>400</v>
      </c>
      <c r="G19" s="280" t="s">
        <v>401</v>
      </c>
      <c r="H19" s="250" t="s">
        <v>332</v>
      </c>
      <c r="I19" s="255"/>
      <c r="J19" s="65" t="s">
        <v>136</v>
      </c>
      <c r="K19" s="250"/>
      <c r="L19" s="264"/>
      <c r="M19" s="68"/>
      <c r="N19" s="68"/>
    </row>
    <row r="20" spans="2:14" s="56" customFormat="1" hidden="1">
      <c r="B20" s="169" t="s">
        <v>402</v>
      </c>
      <c r="C20" s="169" t="s">
        <v>397</v>
      </c>
      <c r="D20" s="274"/>
      <c r="E20" s="278" t="s">
        <v>402</v>
      </c>
      <c r="F20" s="169" t="s">
        <v>403</v>
      </c>
      <c r="G20" s="310">
        <v>7979270471</v>
      </c>
      <c r="H20" s="250" t="s">
        <v>338</v>
      </c>
      <c r="I20" s="275"/>
      <c r="J20" s="65" t="s">
        <v>354</v>
      </c>
      <c r="K20" s="250" t="s">
        <v>332</v>
      </c>
      <c r="L20" s="276" t="s">
        <v>338</v>
      </c>
      <c r="M20" s="68"/>
      <c r="N20" s="68"/>
    </row>
    <row r="21" spans="2:14" s="56" customFormat="1" hidden="1">
      <c r="B21" s="169" t="s">
        <v>63</v>
      </c>
      <c r="C21" s="169" t="s">
        <v>397</v>
      </c>
      <c r="D21" s="274"/>
      <c r="E21" s="278" t="s">
        <v>404</v>
      </c>
      <c r="F21" s="169" t="s">
        <v>405</v>
      </c>
      <c r="G21" s="310">
        <v>4477730238</v>
      </c>
      <c r="H21" s="250" t="s">
        <v>338</v>
      </c>
      <c r="I21" s="275"/>
      <c r="J21" s="65" t="s">
        <v>354</v>
      </c>
      <c r="K21" s="250" t="s">
        <v>332</v>
      </c>
      <c r="L21" s="276" t="s">
        <v>338</v>
      </c>
      <c r="M21" s="68"/>
      <c r="N21" s="68"/>
    </row>
    <row r="22" spans="2:14" s="56" customFormat="1" hidden="1">
      <c r="B22" s="169" t="s">
        <v>406</v>
      </c>
      <c r="C22" s="169" t="s">
        <v>407</v>
      </c>
      <c r="D22" s="274"/>
      <c r="E22" s="278" t="s">
        <v>406</v>
      </c>
      <c r="F22" s="169" t="s">
        <v>408</v>
      </c>
      <c r="G22" s="311">
        <v>2077333533</v>
      </c>
      <c r="H22" s="250" t="s">
        <v>338</v>
      </c>
      <c r="I22" s="275"/>
      <c r="J22" s="65">
        <v>46118</v>
      </c>
      <c r="K22" s="276" t="s">
        <v>338</v>
      </c>
      <c r="L22" s="276" t="s">
        <v>338</v>
      </c>
      <c r="M22" s="68"/>
      <c r="N22" s="68"/>
    </row>
    <row r="23" spans="2:14" s="56" customFormat="1" hidden="1">
      <c r="B23" s="169" t="s">
        <v>409</v>
      </c>
      <c r="C23" s="169" t="s">
        <v>407</v>
      </c>
      <c r="D23" s="274"/>
      <c r="E23" s="270"/>
      <c r="F23" s="1" t="s">
        <v>410</v>
      </c>
      <c r="G23" s="276"/>
      <c r="H23" s="250" t="s">
        <v>332</v>
      </c>
      <c r="I23" s="275"/>
      <c r="J23" s="65" t="s">
        <v>136</v>
      </c>
      <c r="K23" s="281"/>
      <c r="L23" s="264"/>
      <c r="M23" s="68"/>
      <c r="N23" s="68"/>
    </row>
    <row r="24" spans="2:14" s="56" customFormat="1" hidden="1">
      <c r="B24" s="169" t="s">
        <v>411</v>
      </c>
      <c r="C24" s="169" t="s">
        <v>412</v>
      </c>
      <c r="D24" s="274" t="s">
        <v>413</v>
      </c>
      <c r="E24" s="270" t="s">
        <v>414</v>
      </c>
      <c r="F24" s="169" t="s">
        <v>415</v>
      </c>
      <c r="G24" s="354">
        <v>7713961053</v>
      </c>
      <c r="H24" s="281" t="s">
        <v>338</v>
      </c>
      <c r="I24" s="275"/>
      <c r="J24" s="65" t="s">
        <v>136</v>
      </c>
      <c r="K24" s="276" t="s">
        <v>338</v>
      </c>
      <c r="L24" s="276" t="s">
        <v>338</v>
      </c>
      <c r="M24" s="68"/>
      <c r="N24" s="68"/>
    </row>
    <row r="25" spans="2:14" s="56" customFormat="1" hidden="1">
      <c r="B25" s="169" t="s">
        <v>416</v>
      </c>
      <c r="C25" s="169" t="s">
        <v>412</v>
      </c>
      <c r="D25" s="274"/>
      <c r="E25" s="323" t="s">
        <v>417</v>
      </c>
      <c r="F25" s="1" t="s">
        <v>418</v>
      </c>
      <c r="G25" s="326" t="s">
        <v>419</v>
      </c>
      <c r="H25" s="281" t="s">
        <v>338</v>
      </c>
      <c r="I25" s="275"/>
      <c r="J25" s="66" t="s">
        <v>136</v>
      </c>
      <c r="K25" s="276"/>
      <c r="L25" s="276" t="s">
        <v>338</v>
      </c>
      <c r="M25" s="68"/>
      <c r="N25" s="68"/>
    </row>
    <row r="26" spans="2:14" s="56" customFormat="1" hidden="1">
      <c r="B26" s="57" t="s">
        <v>420</v>
      </c>
      <c r="C26" s="57" t="s">
        <v>421</v>
      </c>
      <c r="D26" s="260"/>
      <c r="E26" s="59"/>
      <c r="F26" s="1" t="s">
        <v>422</v>
      </c>
      <c r="G26" s="280" t="s">
        <v>423</v>
      </c>
      <c r="H26" s="250" t="s">
        <v>338</v>
      </c>
      <c r="I26" s="255"/>
      <c r="J26" s="65" t="s">
        <v>136</v>
      </c>
      <c r="K26" s="250"/>
      <c r="L26" s="264"/>
      <c r="M26" s="68"/>
      <c r="N26" s="68"/>
    </row>
    <row r="27" spans="2:14" s="56" customFormat="1" hidden="1">
      <c r="B27" s="169" t="s">
        <v>424</v>
      </c>
      <c r="C27" s="169" t="s">
        <v>421</v>
      </c>
      <c r="D27" s="274" t="s">
        <v>240</v>
      </c>
      <c r="E27" s="278" t="s">
        <v>425</v>
      </c>
      <c r="F27" s="1" t="s">
        <v>426</v>
      </c>
      <c r="G27" s="326" t="s">
        <v>427</v>
      </c>
      <c r="H27" s="281" t="s">
        <v>338</v>
      </c>
      <c r="I27" s="275"/>
      <c r="J27" s="65" t="s">
        <v>136</v>
      </c>
      <c r="K27" s="276"/>
      <c r="L27" s="276" t="s">
        <v>338</v>
      </c>
      <c r="M27" s="68"/>
      <c r="N27" s="68"/>
    </row>
    <row r="28" spans="2:14" s="56" customFormat="1" hidden="1">
      <c r="B28" s="57" t="s">
        <v>428</v>
      </c>
      <c r="C28" s="57" t="s">
        <v>429</v>
      </c>
      <c r="D28" s="260"/>
      <c r="E28" s="59" t="s">
        <v>430</v>
      </c>
      <c r="F28" s="169" t="s">
        <v>431</v>
      </c>
      <c r="G28" s="6" t="s">
        <v>432</v>
      </c>
      <c r="H28" s="250" t="s">
        <v>338</v>
      </c>
      <c r="I28" s="255"/>
      <c r="J28" s="65">
        <v>46269</v>
      </c>
      <c r="K28" s="276" t="s">
        <v>338</v>
      </c>
      <c r="L28" s="276" t="s">
        <v>338</v>
      </c>
      <c r="M28" s="68"/>
      <c r="N28" s="68"/>
    </row>
    <row r="29" spans="2:14" s="56" customFormat="1" hidden="1">
      <c r="B29" s="269" t="s">
        <v>433</v>
      </c>
      <c r="C29" s="169" t="s">
        <v>434</v>
      </c>
      <c r="D29" s="263"/>
      <c r="E29" s="254" t="s">
        <v>435</v>
      </c>
      <c r="F29" s="169" t="s">
        <v>436</v>
      </c>
      <c r="G29" s="280">
        <v>7718648407</v>
      </c>
      <c r="H29" s="250" t="s">
        <v>332</v>
      </c>
      <c r="I29" s="256"/>
      <c r="J29" s="65" t="s">
        <v>136</v>
      </c>
      <c r="K29" s="264"/>
      <c r="L29" s="266"/>
      <c r="M29" s="69"/>
      <c r="N29" s="69"/>
    </row>
    <row r="30" spans="2:14" s="56" customFormat="1" hidden="1">
      <c r="B30" s="57" t="s">
        <v>437</v>
      </c>
      <c r="C30" s="169" t="s">
        <v>434</v>
      </c>
      <c r="D30" s="260"/>
      <c r="E30" s="59" t="s">
        <v>438</v>
      </c>
      <c r="F30" s="63" t="s">
        <v>439</v>
      </c>
      <c r="G30" s="348"/>
      <c r="H30" s="267" t="s">
        <v>332</v>
      </c>
      <c r="I30" s="255"/>
      <c r="J30" s="65" t="s">
        <v>136</v>
      </c>
      <c r="K30" s="250"/>
      <c r="L30" s="264"/>
      <c r="M30" s="69"/>
      <c r="N30" s="69"/>
    </row>
    <row r="31" spans="2:14" s="56" customFormat="1" hidden="1">
      <c r="B31" s="57" t="s">
        <v>440</v>
      </c>
      <c r="C31" s="169" t="s">
        <v>434</v>
      </c>
      <c r="D31" s="260"/>
      <c r="E31" s="64" t="s">
        <v>441</v>
      </c>
      <c r="F31" s="313" t="s">
        <v>442</v>
      </c>
      <c r="G31" s="276" t="s">
        <v>443</v>
      </c>
      <c r="H31" s="250" t="s">
        <v>332</v>
      </c>
      <c r="I31" s="255"/>
      <c r="J31" s="65" t="s">
        <v>136</v>
      </c>
      <c r="K31" s="250"/>
      <c r="L31" s="264"/>
      <c r="M31" s="69"/>
      <c r="N31" s="69"/>
    </row>
    <row r="32" spans="2:14" s="56" customFormat="1" hidden="1">
      <c r="B32" s="169" t="s">
        <v>444</v>
      </c>
      <c r="C32" s="169" t="s">
        <v>434</v>
      </c>
      <c r="D32" s="274"/>
      <c r="E32" s="340" t="s">
        <v>444</v>
      </c>
      <c r="F32" s="264" t="s">
        <v>445</v>
      </c>
      <c r="G32" s="312">
        <v>79044553935</v>
      </c>
      <c r="H32" s="250" t="s">
        <v>332</v>
      </c>
      <c r="I32" s="275"/>
      <c r="J32" s="65">
        <v>46180</v>
      </c>
      <c r="K32" s="276" t="s">
        <v>338</v>
      </c>
      <c r="L32" s="276" t="s">
        <v>338</v>
      </c>
      <c r="M32" s="69"/>
      <c r="N32" s="69"/>
    </row>
    <row r="33" spans="2:14" s="56" customFormat="1" hidden="1">
      <c r="B33" s="169" t="s">
        <v>446</v>
      </c>
      <c r="C33" s="169" t="s">
        <v>434</v>
      </c>
      <c r="D33" s="274"/>
      <c r="E33" s="340" t="s">
        <v>447</v>
      </c>
      <c r="F33" s="264" t="s">
        <v>448</v>
      </c>
      <c r="G33" s="312">
        <v>7808526926</v>
      </c>
      <c r="H33" s="250" t="s">
        <v>338</v>
      </c>
      <c r="I33" s="275"/>
      <c r="J33" s="65">
        <v>46428</v>
      </c>
      <c r="K33" s="276" t="s">
        <v>338</v>
      </c>
      <c r="L33" s="276" t="s">
        <v>338</v>
      </c>
      <c r="M33" s="69"/>
      <c r="N33" s="69"/>
    </row>
    <row r="34" spans="2:14" s="56" customFormat="1" hidden="1">
      <c r="B34" s="169" t="s">
        <v>449</v>
      </c>
      <c r="C34" s="169" t="s">
        <v>434</v>
      </c>
      <c r="D34" s="274" t="s">
        <v>231</v>
      </c>
      <c r="E34" s="341" t="s">
        <v>450</v>
      </c>
      <c r="F34" s="264" t="s">
        <v>451</v>
      </c>
      <c r="G34" s="276">
        <v>7879443027</v>
      </c>
      <c r="H34" s="281" t="s">
        <v>338</v>
      </c>
      <c r="I34" s="275"/>
      <c r="J34" s="65" t="s">
        <v>136</v>
      </c>
      <c r="K34" s="276"/>
      <c r="L34" s="276" t="s">
        <v>338</v>
      </c>
      <c r="M34" s="69"/>
      <c r="N34" s="69"/>
    </row>
    <row r="35" spans="2:14" s="56" customFormat="1" hidden="1">
      <c r="B35" s="284" t="s">
        <v>452</v>
      </c>
      <c r="C35" s="169" t="s">
        <v>453</v>
      </c>
      <c r="D35" s="274"/>
      <c r="E35" s="342" t="s">
        <v>454</v>
      </c>
      <c r="F35" s="264" t="s">
        <v>455</v>
      </c>
      <c r="G35" s="300" t="s">
        <v>456</v>
      </c>
      <c r="H35" s="281" t="s">
        <v>338</v>
      </c>
      <c r="I35" s="275"/>
      <c r="J35" s="65">
        <v>46136</v>
      </c>
      <c r="K35" s="281" t="s">
        <v>338</v>
      </c>
      <c r="L35" s="264"/>
      <c r="M35" s="69"/>
      <c r="N35" s="69"/>
    </row>
    <row r="36" spans="2:14" s="56" customFormat="1" hidden="1">
      <c r="B36" s="169" t="s">
        <v>457</v>
      </c>
      <c r="C36" s="169" t="s">
        <v>458</v>
      </c>
      <c r="D36" s="274"/>
      <c r="E36" s="343" t="s">
        <v>459</v>
      </c>
      <c r="F36" s="264" t="s">
        <v>460</v>
      </c>
      <c r="G36" s="276">
        <v>7514139346</v>
      </c>
      <c r="H36" s="281" t="s">
        <v>338</v>
      </c>
      <c r="I36" s="275"/>
      <c r="J36" s="65" t="s">
        <v>136</v>
      </c>
      <c r="K36" s="276"/>
      <c r="L36" s="276" t="s">
        <v>338</v>
      </c>
      <c r="M36" s="68"/>
      <c r="N36" s="68"/>
    </row>
    <row r="37" spans="2:14" s="56" customFormat="1" hidden="1">
      <c r="B37" s="285" t="s">
        <v>461</v>
      </c>
      <c r="C37" s="285" t="s">
        <v>462</v>
      </c>
      <c r="D37" s="286"/>
      <c r="E37" s="344"/>
      <c r="F37" s="264"/>
      <c r="G37" s="276"/>
      <c r="H37" s="250" t="s">
        <v>332</v>
      </c>
      <c r="I37" s="287"/>
      <c r="J37" s="65" t="s">
        <v>136</v>
      </c>
      <c r="K37" s="281"/>
      <c r="L37" s="264"/>
      <c r="M37" s="68"/>
      <c r="N37" s="68"/>
    </row>
    <row r="38" spans="2:14" s="56" customFormat="1" hidden="1">
      <c r="B38" s="315" t="s">
        <v>463</v>
      </c>
      <c r="C38" s="315" t="s">
        <v>464</v>
      </c>
      <c r="D38" s="260"/>
      <c r="E38" s="345" t="s">
        <v>465</v>
      </c>
      <c r="F38" s="313" t="s">
        <v>466</v>
      </c>
      <c r="G38" s="276" t="s">
        <v>467</v>
      </c>
      <c r="H38" s="250" t="s">
        <v>332</v>
      </c>
      <c r="I38" s="255"/>
      <c r="J38" s="65">
        <v>45930</v>
      </c>
      <c r="K38" s="250"/>
      <c r="L38" s="264"/>
      <c r="M38" s="68"/>
      <c r="N38" s="68"/>
    </row>
    <row r="39" spans="2:14" s="56" customFormat="1" hidden="1">
      <c r="B39" s="169" t="s">
        <v>468</v>
      </c>
      <c r="C39" s="57" t="s">
        <v>464</v>
      </c>
      <c r="D39" s="274"/>
      <c r="E39" s="340" t="s">
        <v>469</v>
      </c>
      <c r="F39" s="264" t="s">
        <v>470</v>
      </c>
      <c r="G39" s="276" t="s">
        <v>471</v>
      </c>
      <c r="H39" s="250" t="s">
        <v>332</v>
      </c>
      <c r="I39" s="275"/>
      <c r="J39" s="65" t="s">
        <v>354</v>
      </c>
      <c r="K39" s="250" t="s">
        <v>332</v>
      </c>
      <c r="L39" s="276" t="s">
        <v>338</v>
      </c>
      <c r="M39" s="68"/>
      <c r="N39" s="68"/>
    </row>
    <row r="40" spans="2:14" s="56" customFormat="1" hidden="1">
      <c r="B40" s="169" t="s">
        <v>472</v>
      </c>
      <c r="C40" s="57" t="s">
        <v>464</v>
      </c>
      <c r="D40" s="274"/>
      <c r="E40" s="340" t="s">
        <v>473</v>
      </c>
      <c r="F40" s="264" t="s">
        <v>474</v>
      </c>
      <c r="G40" s="312">
        <v>7377685051</v>
      </c>
      <c r="H40" s="250" t="s">
        <v>338</v>
      </c>
      <c r="I40" s="275"/>
      <c r="J40" s="65">
        <v>46301</v>
      </c>
      <c r="K40" s="276" t="s">
        <v>338</v>
      </c>
      <c r="L40" s="276" t="s">
        <v>338</v>
      </c>
      <c r="M40" s="68"/>
      <c r="N40" s="68"/>
    </row>
    <row r="41" spans="2:14" s="56" customFormat="1" hidden="1">
      <c r="B41" s="169" t="s">
        <v>475</v>
      </c>
      <c r="C41" s="57" t="s">
        <v>464</v>
      </c>
      <c r="D41" s="274"/>
      <c r="E41" s="340" t="s">
        <v>476</v>
      </c>
      <c r="F41" s="1" t="s">
        <v>477</v>
      </c>
      <c r="G41" s="276">
        <v>1843834608</v>
      </c>
      <c r="H41" s="250" t="s">
        <v>332</v>
      </c>
      <c r="I41" s="275"/>
      <c r="J41" s="65" t="s">
        <v>136</v>
      </c>
      <c r="K41" s="281"/>
      <c r="L41" s="264"/>
      <c r="M41" s="68"/>
      <c r="N41" s="68"/>
    </row>
    <row r="42" spans="2:14" s="56" customFormat="1" hidden="1">
      <c r="B42" s="284" t="s">
        <v>478</v>
      </c>
      <c r="C42" s="57" t="s">
        <v>464</v>
      </c>
      <c r="D42" s="274"/>
      <c r="E42" s="342" t="s">
        <v>478</v>
      </c>
      <c r="F42" s="264" t="s">
        <v>479</v>
      </c>
      <c r="G42" s="312">
        <v>2039839383</v>
      </c>
      <c r="H42" s="250" t="s">
        <v>338</v>
      </c>
      <c r="I42" s="275"/>
      <c r="J42" s="65" t="s">
        <v>480</v>
      </c>
      <c r="K42" s="276" t="s">
        <v>338</v>
      </c>
      <c r="L42" s="276" t="s">
        <v>338</v>
      </c>
      <c r="M42" s="68"/>
      <c r="N42" s="68"/>
    </row>
    <row r="43" spans="2:14" s="56" customFormat="1" hidden="1">
      <c r="B43" s="169" t="s">
        <v>481</v>
      </c>
      <c r="C43" s="289" t="s">
        <v>464</v>
      </c>
      <c r="D43" s="274"/>
      <c r="E43" s="340" t="s">
        <v>469</v>
      </c>
      <c r="F43" s="264" t="s">
        <v>482</v>
      </c>
      <c r="G43" s="276" t="s">
        <v>483</v>
      </c>
      <c r="H43" s="281" t="s">
        <v>338</v>
      </c>
      <c r="I43" s="275"/>
      <c r="J43" s="65" t="s">
        <v>136</v>
      </c>
      <c r="K43" s="281"/>
      <c r="L43" s="276" t="s">
        <v>338</v>
      </c>
      <c r="M43" s="68"/>
      <c r="N43" s="68"/>
    </row>
    <row r="44" spans="2:14" s="56" customFormat="1" hidden="1">
      <c r="B44" s="169" t="s">
        <v>484</v>
      </c>
      <c r="C44" s="289" t="s">
        <v>40</v>
      </c>
      <c r="D44" s="274"/>
      <c r="E44" s="340" t="s">
        <v>485</v>
      </c>
      <c r="F44" s="264" t="s">
        <v>486</v>
      </c>
      <c r="G44" s="276"/>
      <c r="H44" s="281" t="s">
        <v>338</v>
      </c>
      <c r="I44" s="275"/>
      <c r="J44" s="330"/>
      <c r="K44" s="290"/>
      <c r="L44" s="339" t="s">
        <v>338</v>
      </c>
      <c r="M44" s="68"/>
      <c r="N44" s="68"/>
    </row>
    <row r="45" spans="2:14" s="56" customFormat="1" hidden="1">
      <c r="B45" s="57" t="s">
        <v>487</v>
      </c>
      <c r="C45" s="289" t="s">
        <v>488</v>
      </c>
      <c r="D45" s="260"/>
      <c r="E45" s="64" t="s">
        <v>489</v>
      </c>
      <c r="F45" s="1" t="s">
        <v>490</v>
      </c>
      <c r="G45" s="276" t="s">
        <v>491</v>
      </c>
      <c r="H45" s="250" t="s">
        <v>332</v>
      </c>
      <c r="I45" s="255"/>
      <c r="J45" s="58" t="s">
        <v>136</v>
      </c>
      <c r="K45" s="65"/>
      <c r="L45" s="264"/>
      <c r="M45" s="68"/>
      <c r="N45" s="68"/>
    </row>
    <row r="46" spans="2:14" s="56" customFormat="1" hidden="1">
      <c r="B46" s="169" t="s">
        <v>492</v>
      </c>
      <c r="C46" s="289" t="s">
        <v>488</v>
      </c>
      <c r="D46" s="274"/>
      <c r="E46" s="340"/>
      <c r="F46" t="s">
        <v>493</v>
      </c>
      <c r="G46" s="276"/>
      <c r="H46" s="250" t="s">
        <v>332</v>
      </c>
      <c r="I46" s="275"/>
      <c r="J46" s="58" t="s">
        <v>136</v>
      </c>
      <c r="K46" s="273"/>
      <c r="L46" s="264"/>
      <c r="M46" s="68"/>
      <c r="N46" s="68"/>
    </row>
    <row r="47" spans="2:14" s="56" customFormat="1" hidden="1">
      <c r="B47" s="169" t="s">
        <v>494</v>
      </c>
      <c r="C47" s="289" t="s">
        <v>495</v>
      </c>
      <c r="D47" s="274"/>
      <c r="E47" s="340" t="s">
        <v>496</v>
      </c>
      <c r="F47" s="264" t="s">
        <v>497</v>
      </c>
      <c r="G47" s="312">
        <v>7882752178</v>
      </c>
      <c r="H47" s="250" t="s">
        <v>338</v>
      </c>
      <c r="I47" s="275"/>
      <c r="J47" s="58" t="s">
        <v>498</v>
      </c>
      <c r="K47" s="277" t="s">
        <v>338</v>
      </c>
      <c r="L47" s="276" t="s">
        <v>338</v>
      </c>
      <c r="M47" s="68"/>
      <c r="N47" s="68"/>
    </row>
    <row r="48" spans="2:14" s="56" customFormat="1" hidden="1">
      <c r="B48" s="269" t="s">
        <v>499</v>
      </c>
      <c r="C48" s="319" t="s">
        <v>495</v>
      </c>
      <c r="D48" s="261"/>
      <c r="E48" s="341" t="s">
        <v>500</v>
      </c>
      <c r="F48" s="349" t="s">
        <v>501</v>
      </c>
      <c r="G48" s="276">
        <v>7459144306</v>
      </c>
      <c r="H48" s="250" t="s">
        <v>332</v>
      </c>
      <c r="I48" s="272"/>
      <c r="J48" s="58" t="s">
        <v>136</v>
      </c>
      <c r="K48" s="273"/>
      <c r="L48" s="266"/>
      <c r="M48" s="68"/>
      <c r="N48" s="68"/>
    </row>
    <row r="49" spans="2:14" s="56" customFormat="1" hidden="1">
      <c r="B49" s="169" t="s">
        <v>502</v>
      </c>
      <c r="C49" s="169" t="s">
        <v>495</v>
      </c>
      <c r="D49" s="274"/>
      <c r="E49" s="341" t="s">
        <v>503</v>
      </c>
      <c r="F49" s="264" t="s">
        <v>504</v>
      </c>
      <c r="G49" s="312">
        <v>7881201544</v>
      </c>
      <c r="H49" s="250" t="s">
        <v>338</v>
      </c>
      <c r="I49" s="275"/>
      <c r="J49" s="58" t="s">
        <v>505</v>
      </c>
      <c r="K49" s="277" t="s">
        <v>338</v>
      </c>
      <c r="L49" s="276" t="s">
        <v>338</v>
      </c>
      <c r="M49" s="68"/>
      <c r="N49" s="68"/>
    </row>
    <row r="50" spans="2:14" s="56" customFormat="1" hidden="1">
      <c r="B50" s="291" t="s">
        <v>506</v>
      </c>
      <c r="C50" s="284" t="s">
        <v>495</v>
      </c>
      <c r="D50" s="292"/>
      <c r="E50" s="1" t="s">
        <v>506</v>
      </c>
      <c r="F50" s="264" t="s">
        <v>507</v>
      </c>
      <c r="G50" s="312" t="s">
        <v>508</v>
      </c>
      <c r="H50" s="250" t="s">
        <v>338</v>
      </c>
      <c r="I50" s="293"/>
      <c r="J50" s="58">
        <v>46087</v>
      </c>
      <c r="K50" s="282" t="s">
        <v>338</v>
      </c>
      <c r="L50" s="276" t="s">
        <v>338</v>
      </c>
      <c r="M50" s="68"/>
      <c r="N50" s="68"/>
    </row>
    <row r="51" spans="2:14" s="56" customFormat="1" hidden="1">
      <c r="B51" s="288" t="s">
        <v>509</v>
      </c>
      <c r="C51" s="284" t="s">
        <v>495</v>
      </c>
      <c r="D51" s="308" t="s">
        <v>510</v>
      </c>
      <c r="E51" s="346" t="s">
        <v>509</v>
      </c>
      <c r="F51" s="266" t="s">
        <v>511</v>
      </c>
      <c r="G51" s="276" t="s">
        <v>512</v>
      </c>
      <c r="H51" s="250" t="s">
        <v>332</v>
      </c>
      <c r="I51" s="334"/>
      <c r="J51" s="58" t="s">
        <v>136</v>
      </c>
      <c r="K51" s="338"/>
      <c r="L51" s="266"/>
      <c r="M51" s="68"/>
      <c r="N51" s="68"/>
    </row>
    <row r="52" spans="2:14" s="56" customFormat="1" hidden="1">
      <c r="B52" s="169" t="s">
        <v>513</v>
      </c>
      <c r="C52" s="284" t="s">
        <v>495</v>
      </c>
      <c r="D52" s="292"/>
      <c r="E52" s="342" t="s">
        <v>514</v>
      </c>
      <c r="F52" s="264" t="s">
        <v>515</v>
      </c>
      <c r="G52" s="300" t="s">
        <v>516</v>
      </c>
      <c r="H52" s="281" t="s">
        <v>338</v>
      </c>
      <c r="I52" s="293"/>
      <c r="J52" s="58" t="s">
        <v>136</v>
      </c>
      <c r="K52" s="273"/>
      <c r="L52" s="264"/>
      <c r="M52" s="68"/>
      <c r="N52" s="68"/>
    </row>
    <row r="53" spans="2:14" s="56" customFormat="1" hidden="1">
      <c r="B53" s="169" t="s">
        <v>517</v>
      </c>
      <c r="C53" s="284" t="s">
        <v>495</v>
      </c>
      <c r="D53" s="292"/>
      <c r="E53" s="346" t="s">
        <v>518</v>
      </c>
      <c r="F53" s="264" t="s">
        <v>519</v>
      </c>
      <c r="G53" s="312">
        <v>2030950959</v>
      </c>
      <c r="H53" s="250" t="s">
        <v>338</v>
      </c>
      <c r="I53" s="293"/>
      <c r="J53" s="58" t="s">
        <v>354</v>
      </c>
      <c r="K53" s="277" t="s">
        <v>338</v>
      </c>
      <c r="L53" s="276" t="s">
        <v>338</v>
      </c>
      <c r="M53" s="68"/>
      <c r="N53" s="68"/>
    </row>
    <row r="54" spans="2:14" s="56" customFormat="1" hidden="1">
      <c r="B54" s="269" t="s">
        <v>520</v>
      </c>
      <c r="C54" s="288" t="s">
        <v>495</v>
      </c>
      <c r="D54" s="308" t="s">
        <v>521</v>
      </c>
      <c r="E54" s="341" t="s">
        <v>520</v>
      </c>
      <c r="F54" s="266" t="s">
        <v>522</v>
      </c>
      <c r="G54" s="276" t="s">
        <v>523</v>
      </c>
      <c r="H54" s="250" t="s">
        <v>332</v>
      </c>
      <c r="I54" s="294"/>
      <c r="J54" s="58" t="s">
        <v>136</v>
      </c>
      <c r="K54" s="273"/>
      <c r="L54" s="266"/>
      <c r="M54" s="68"/>
      <c r="N54" s="68"/>
    </row>
    <row r="55" spans="2:14" s="56" customFormat="1" hidden="1">
      <c r="B55" s="169" t="s">
        <v>524</v>
      </c>
      <c r="C55" s="284" t="s">
        <v>495</v>
      </c>
      <c r="D55" s="292"/>
      <c r="E55" s="342" t="s">
        <v>524</v>
      </c>
      <c r="F55" s="264" t="s">
        <v>525</v>
      </c>
      <c r="G55" s="312">
        <v>7476555423</v>
      </c>
      <c r="H55" s="250" t="s">
        <v>338</v>
      </c>
      <c r="I55" s="293"/>
      <c r="J55" s="58" t="s">
        <v>354</v>
      </c>
      <c r="K55" s="65" t="s">
        <v>332</v>
      </c>
      <c r="L55" s="276" t="s">
        <v>338</v>
      </c>
      <c r="M55" s="68"/>
      <c r="N55" s="68"/>
    </row>
    <row r="56" spans="2:14" s="56" customFormat="1" hidden="1">
      <c r="B56" s="169" t="s">
        <v>526</v>
      </c>
      <c r="C56" s="284" t="s">
        <v>495</v>
      </c>
      <c r="D56" s="292"/>
      <c r="E56" s="347" t="s">
        <v>527</v>
      </c>
      <c r="F56" s="264" t="s">
        <v>528</v>
      </c>
      <c r="G56" s="300" t="s">
        <v>529</v>
      </c>
      <c r="H56" s="281" t="s">
        <v>338</v>
      </c>
      <c r="I56" s="293"/>
      <c r="J56" s="58" t="s">
        <v>136</v>
      </c>
      <c r="K56" s="273"/>
      <c r="L56" s="276" t="s">
        <v>338</v>
      </c>
      <c r="M56" s="68"/>
      <c r="N56" s="68"/>
    </row>
    <row r="57" spans="2:14" s="56" customFormat="1" hidden="1">
      <c r="B57" s="169" t="s">
        <v>530</v>
      </c>
      <c r="C57" s="284" t="s">
        <v>495</v>
      </c>
      <c r="D57" s="292"/>
      <c r="E57" s="342" t="s">
        <v>530</v>
      </c>
      <c r="F57" s="264" t="s">
        <v>531</v>
      </c>
      <c r="G57" s="300" t="s">
        <v>532</v>
      </c>
      <c r="H57" s="281" t="s">
        <v>338</v>
      </c>
      <c r="I57" s="293"/>
      <c r="J57" s="330"/>
      <c r="K57" s="273"/>
      <c r="L57" s="276" t="s">
        <v>338</v>
      </c>
      <c r="M57" s="68"/>
      <c r="N57" s="68"/>
    </row>
    <row r="58" spans="2:14" s="56" customFormat="1" hidden="1">
      <c r="B58" s="169" t="s">
        <v>533</v>
      </c>
      <c r="C58" s="284" t="s">
        <v>534</v>
      </c>
      <c r="D58" s="292"/>
      <c r="E58" s="340" t="s">
        <v>535</v>
      </c>
      <c r="F58" s="264" t="s">
        <v>536</v>
      </c>
      <c r="G58" s="276" t="s">
        <v>537</v>
      </c>
      <c r="H58" s="250" t="s">
        <v>338</v>
      </c>
      <c r="I58" s="293"/>
      <c r="J58" s="58" t="s">
        <v>354</v>
      </c>
      <c r="K58" s="65" t="s">
        <v>332</v>
      </c>
      <c r="L58" s="276" t="s">
        <v>338</v>
      </c>
      <c r="M58" s="68"/>
      <c r="N58" s="68"/>
    </row>
    <row r="59" spans="2:14" s="56" customFormat="1" hidden="1">
      <c r="B59" s="269" t="s">
        <v>538</v>
      </c>
      <c r="C59" s="288" t="s">
        <v>495</v>
      </c>
      <c r="D59" s="321" t="s">
        <v>434</v>
      </c>
      <c r="E59" s="340" t="s">
        <v>539</v>
      </c>
      <c r="F59" s="264" t="s">
        <v>540</v>
      </c>
      <c r="G59" s="276">
        <v>7542011489</v>
      </c>
      <c r="H59" s="250" t="s">
        <v>332</v>
      </c>
      <c r="I59" s="294" t="s">
        <v>541</v>
      </c>
      <c r="J59" s="58" t="s">
        <v>136</v>
      </c>
      <c r="K59" s="273"/>
      <c r="L59" s="266"/>
      <c r="M59" s="68"/>
      <c r="N59" s="68"/>
    </row>
    <row r="60" spans="2:14" s="56" customFormat="1" hidden="1">
      <c r="B60" s="169" t="s">
        <v>542</v>
      </c>
      <c r="C60" s="284" t="s">
        <v>434</v>
      </c>
      <c r="D60" s="292" t="s">
        <v>543</v>
      </c>
      <c r="E60" s="340" t="s">
        <v>544</v>
      </c>
      <c r="F60" s="264" t="s">
        <v>545</v>
      </c>
      <c r="G60" s="312">
        <v>1142507411</v>
      </c>
      <c r="H60" s="250" t="s">
        <v>338</v>
      </c>
      <c r="I60" s="293"/>
      <c r="J60" s="58" t="s">
        <v>354</v>
      </c>
      <c r="K60" s="65" t="s">
        <v>332</v>
      </c>
      <c r="L60" s="276" t="s">
        <v>338</v>
      </c>
      <c r="M60" s="68"/>
      <c r="N60" s="68"/>
    </row>
    <row r="61" spans="2:14" s="56" customFormat="1" hidden="1">
      <c r="B61" s="285" t="s">
        <v>546</v>
      </c>
      <c r="C61" s="284" t="s">
        <v>547</v>
      </c>
      <c r="D61" s="292"/>
      <c r="E61" s="340" t="s">
        <v>548</v>
      </c>
      <c r="F61" s="264" t="s">
        <v>549</v>
      </c>
      <c r="G61" s="276">
        <v>7473119545</v>
      </c>
      <c r="H61" s="250" t="s">
        <v>332</v>
      </c>
      <c r="I61" s="293" t="s">
        <v>550</v>
      </c>
      <c r="J61" s="58" t="s">
        <v>136</v>
      </c>
      <c r="K61" s="273"/>
      <c r="L61" s="264"/>
      <c r="M61" s="68"/>
      <c r="N61" s="68"/>
    </row>
    <row r="62" spans="2:14" s="56" customFormat="1" hidden="1">
      <c r="B62" s="169" t="s">
        <v>551</v>
      </c>
      <c r="C62" s="284" t="s">
        <v>495</v>
      </c>
      <c r="D62" s="292"/>
      <c r="E62" s="340" t="s">
        <v>552</v>
      </c>
      <c r="F62" s="264" t="s">
        <v>553</v>
      </c>
      <c r="G62" s="276" t="s">
        <v>554</v>
      </c>
      <c r="H62" s="250" t="s">
        <v>338</v>
      </c>
      <c r="I62" s="293"/>
      <c r="J62" s="58" t="s">
        <v>555</v>
      </c>
      <c r="K62" s="277" t="s">
        <v>338</v>
      </c>
      <c r="L62" s="276" t="s">
        <v>338</v>
      </c>
      <c r="M62" s="68"/>
      <c r="N62" s="68"/>
    </row>
    <row r="63" spans="2:14" s="56" customFormat="1">
      <c r="B63" s="169" t="s">
        <v>556</v>
      </c>
      <c r="C63" s="284" t="s">
        <v>557</v>
      </c>
      <c r="D63" s="292"/>
      <c r="E63" s="340" t="s">
        <v>558</v>
      </c>
      <c r="F63" s="264" t="s">
        <v>559</v>
      </c>
      <c r="G63" s="312">
        <v>75380259108</v>
      </c>
      <c r="H63" s="250" t="s">
        <v>332</v>
      </c>
      <c r="I63" s="293"/>
      <c r="J63" s="58" t="s">
        <v>354</v>
      </c>
      <c r="K63" s="277" t="s">
        <v>338</v>
      </c>
      <c r="L63" s="276" t="s">
        <v>338</v>
      </c>
      <c r="M63" s="68"/>
      <c r="N63" s="68"/>
    </row>
    <row r="64" spans="2:14" s="56" customFormat="1">
      <c r="B64" s="169" t="s">
        <v>560</v>
      </c>
      <c r="C64" s="284" t="s">
        <v>557</v>
      </c>
      <c r="D64" s="292"/>
      <c r="E64" s="340" t="s">
        <v>560</v>
      </c>
      <c r="F64" s="264" t="s">
        <v>561</v>
      </c>
      <c r="G64" s="312"/>
      <c r="H64" s="250" t="s">
        <v>338</v>
      </c>
      <c r="I64" s="293"/>
      <c r="J64" s="58" t="s">
        <v>354</v>
      </c>
      <c r="K64" s="65" t="s">
        <v>332</v>
      </c>
      <c r="L64" s="276" t="s">
        <v>338</v>
      </c>
      <c r="M64" s="68"/>
      <c r="N64" s="68"/>
    </row>
    <row r="65" spans="2:14" s="56" customFormat="1">
      <c r="B65" s="169" t="s">
        <v>562</v>
      </c>
      <c r="C65" s="284" t="s">
        <v>557</v>
      </c>
      <c r="D65" s="292"/>
      <c r="E65" s="340" t="s">
        <v>563</v>
      </c>
      <c r="F65" s="1" t="s">
        <v>564</v>
      </c>
      <c r="G65" s="276">
        <v>7853449519</v>
      </c>
      <c r="H65" s="250" t="s">
        <v>332</v>
      </c>
      <c r="I65" s="293"/>
      <c r="J65" s="58" t="s">
        <v>136</v>
      </c>
      <c r="K65" s="273"/>
      <c r="L65" s="264"/>
      <c r="M65" s="68"/>
      <c r="N65" s="68"/>
    </row>
    <row r="66" spans="2:14" s="56" customFormat="1" hidden="1">
      <c r="B66" s="169" t="s">
        <v>565</v>
      </c>
      <c r="C66" s="284" t="s">
        <v>240</v>
      </c>
      <c r="D66" s="292"/>
      <c r="E66" s="340" t="s">
        <v>566</v>
      </c>
      <c r="F66" s="264" t="s">
        <v>567</v>
      </c>
      <c r="G66" s="276" t="s">
        <v>568</v>
      </c>
      <c r="H66" s="281" t="s">
        <v>338</v>
      </c>
      <c r="I66" s="293"/>
      <c r="J66" s="330">
        <v>46316</v>
      </c>
      <c r="K66" s="273" t="s">
        <v>338</v>
      </c>
      <c r="L66" s="276" t="s">
        <v>338</v>
      </c>
      <c r="M66" s="68"/>
      <c r="N66" s="68"/>
    </row>
    <row r="67" spans="2:14" s="56" customFormat="1" hidden="1">
      <c r="B67" s="169" t="s">
        <v>569</v>
      </c>
      <c r="C67" s="284" t="s">
        <v>240</v>
      </c>
      <c r="D67" s="292"/>
      <c r="E67" s="340" t="s">
        <v>569</v>
      </c>
      <c r="F67" s="264" t="s">
        <v>570</v>
      </c>
      <c r="G67" s="312"/>
      <c r="H67" s="250" t="s">
        <v>338</v>
      </c>
      <c r="I67" s="293"/>
      <c r="J67" s="58" t="s">
        <v>354</v>
      </c>
      <c r="K67" s="65" t="s">
        <v>332</v>
      </c>
      <c r="L67" s="276" t="s">
        <v>338</v>
      </c>
      <c r="M67" s="68"/>
      <c r="N67" s="68"/>
    </row>
    <row r="68" spans="2:14" s="56" customFormat="1" hidden="1">
      <c r="B68" s="57" t="s">
        <v>571</v>
      </c>
      <c r="C68" s="63" t="s">
        <v>572</v>
      </c>
      <c r="D68" s="262"/>
      <c r="E68" s="64" t="s">
        <v>573</v>
      </c>
      <c r="F68" s="313"/>
      <c r="G68" s="276" t="s">
        <v>574</v>
      </c>
      <c r="H68" s="250" t="s">
        <v>332</v>
      </c>
      <c r="I68" s="257"/>
      <c r="J68" s="58" t="s">
        <v>136</v>
      </c>
      <c r="K68" s="65"/>
      <c r="L68" s="264"/>
      <c r="M68" s="68"/>
      <c r="N68" s="68"/>
    </row>
    <row r="69" spans="2:14" s="56" customFormat="1" hidden="1">
      <c r="B69" s="269" t="s">
        <v>575</v>
      </c>
      <c r="C69" s="288" t="s">
        <v>510</v>
      </c>
      <c r="D69" s="322"/>
      <c r="E69" s="341" t="s">
        <v>576</v>
      </c>
      <c r="F69" s="349" t="s">
        <v>577</v>
      </c>
      <c r="G69" s="276" t="s">
        <v>578</v>
      </c>
      <c r="H69" s="250" t="s">
        <v>332</v>
      </c>
      <c r="I69" s="334"/>
      <c r="J69" s="58" t="s">
        <v>136</v>
      </c>
      <c r="K69" s="338"/>
      <c r="L69" s="266"/>
      <c r="M69" s="68"/>
      <c r="N69" s="68"/>
    </row>
    <row r="70" spans="2:14" s="56" customFormat="1" hidden="1">
      <c r="B70" s="169" t="s">
        <v>579</v>
      </c>
      <c r="C70" s="284" t="s">
        <v>510</v>
      </c>
      <c r="D70" s="292"/>
      <c r="E70" s="347" t="s">
        <v>580</v>
      </c>
      <c r="F70" s="264" t="s">
        <v>581</v>
      </c>
      <c r="G70" s="276" t="s">
        <v>582</v>
      </c>
      <c r="H70" s="281" t="s">
        <v>338</v>
      </c>
      <c r="I70" s="293"/>
      <c r="J70" s="58" t="s">
        <v>136</v>
      </c>
      <c r="K70" s="277"/>
      <c r="L70" s="276" t="s">
        <v>338</v>
      </c>
      <c r="M70" s="68"/>
      <c r="N70" s="68"/>
    </row>
    <row r="71" spans="2:14" s="56" customFormat="1" hidden="1">
      <c r="B71" s="62" t="s">
        <v>583</v>
      </c>
      <c r="C71" s="63" t="s">
        <v>584</v>
      </c>
      <c r="D71" s="262" t="s">
        <v>585</v>
      </c>
      <c r="E71" s="64" t="s">
        <v>586</v>
      </c>
      <c r="F71" s="313" t="s">
        <v>587</v>
      </c>
      <c r="G71" s="276" t="s">
        <v>588</v>
      </c>
      <c r="H71" s="250" t="s">
        <v>332</v>
      </c>
      <c r="I71" s="257"/>
      <c r="J71" s="58" t="s">
        <v>136</v>
      </c>
      <c r="K71" s="65"/>
      <c r="L71" s="264"/>
      <c r="M71" s="68"/>
      <c r="N71" s="68"/>
    </row>
    <row r="72" spans="2:14" s="56" customFormat="1" hidden="1">
      <c r="B72" s="289" t="s">
        <v>589</v>
      </c>
      <c r="C72" s="284" t="s">
        <v>590</v>
      </c>
      <c r="D72" s="292"/>
      <c r="E72" s="340" t="s">
        <v>591</v>
      </c>
      <c r="F72" s="264" t="s">
        <v>592</v>
      </c>
      <c r="G72" s="276" t="s">
        <v>593</v>
      </c>
      <c r="H72" s="250" t="s">
        <v>332</v>
      </c>
      <c r="I72" s="293"/>
      <c r="J72" s="58" t="s">
        <v>136</v>
      </c>
      <c r="K72" s="273"/>
      <c r="L72" s="264"/>
      <c r="M72" s="68"/>
      <c r="N72" s="68"/>
    </row>
    <row r="73" spans="2:14" s="56" customFormat="1" hidden="1">
      <c r="B73" s="284" t="s">
        <v>594</v>
      </c>
      <c r="C73" s="284" t="s">
        <v>595</v>
      </c>
      <c r="D73" s="292"/>
      <c r="E73" s="1" t="s">
        <v>596</v>
      </c>
      <c r="F73" s="264" t="s">
        <v>597</v>
      </c>
      <c r="G73" s="312">
        <v>7479993666</v>
      </c>
      <c r="H73" s="250" t="s">
        <v>338</v>
      </c>
      <c r="I73" s="293"/>
      <c r="J73" s="61">
        <v>46092</v>
      </c>
      <c r="K73" s="282" t="s">
        <v>338</v>
      </c>
      <c r="L73" s="283" t="s">
        <v>338</v>
      </c>
      <c r="M73" s="68"/>
      <c r="N73" s="68"/>
    </row>
    <row r="74" spans="2:14" s="56" customFormat="1" hidden="1">
      <c r="B74" s="318" t="s">
        <v>598</v>
      </c>
      <c r="C74" s="265" t="s">
        <v>595</v>
      </c>
      <c r="D74" s="262"/>
      <c r="E74" s="350" t="s">
        <v>599</v>
      </c>
      <c r="F74" s="313" t="s">
        <v>600</v>
      </c>
      <c r="G74" s="276" t="s">
        <v>601</v>
      </c>
      <c r="H74" s="250" t="s">
        <v>332</v>
      </c>
      <c r="I74" s="335"/>
      <c r="J74" s="252" t="s">
        <v>136</v>
      </c>
      <c r="K74" s="253"/>
      <c r="L74" s="264"/>
      <c r="M74" s="68"/>
      <c r="N74" s="68"/>
    </row>
    <row r="75" spans="2:14" s="56" customFormat="1" hidden="1">
      <c r="B75" s="317" t="s">
        <v>602</v>
      </c>
      <c r="C75" s="63" t="s">
        <v>595</v>
      </c>
      <c r="D75" s="262"/>
      <c r="E75" s="351" t="s">
        <v>603</v>
      </c>
      <c r="F75" s="313" t="s">
        <v>604</v>
      </c>
      <c r="G75" s="276" t="s">
        <v>605</v>
      </c>
      <c r="H75" s="250" t="s">
        <v>338</v>
      </c>
      <c r="I75" s="257"/>
      <c r="J75" s="58" t="s">
        <v>136</v>
      </c>
      <c r="K75" s="65"/>
      <c r="L75" s="264"/>
      <c r="M75" s="68"/>
      <c r="N75" s="68"/>
    </row>
    <row r="76" spans="2:14" s="56" customFormat="1" hidden="1">
      <c r="B76" s="316" t="s">
        <v>606</v>
      </c>
      <c r="C76" s="288" t="s">
        <v>595</v>
      </c>
      <c r="D76" s="292" t="s">
        <v>607</v>
      </c>
      <c r="E76" s="346" t="s">
        <v>608</v>
      </c>
      <c r="F76" s="264" t="s">
        <v>609</v>
      </c>
      <c r="G76" s="276">
        <v>7860513348</v>
      </c>
      <c r="H76" s="250" t="s">
        <v>332</v>
      </c>
      <c r="I76" s="293"/>
      <c r="J76" s="58" t="s">
        <v>136</v>
      </c>
      <c r="K76" s="338"/>
      <c r="L76" s="276" t="s">
        <v>332</v>
      </c>
      <c r="M76" s="68"/>
      <c r="N76" s="68"/>
    </row>
    <row r="77" spans="2:14" s="56" customFormat="1" hidden="1">
      <c r="B77" s="295" t="s">
        <v>610</v>
      </c>
      <c r="C77" s="251" t="s">
        <v>595</v>
      </c>
      <c r="D77" s="292" t="s">
        <v>611</v>
      </c>
      <c r="E77" s="346" t="s">
        <v>612</v>
      </c>
      <c r="F77" s="264" t="s">
        <v>613</v>
      </c>
      <c r="G77" s="276" t="s">
        <v>614</v>
      </c>
      <c r="H77" s="281" t="s">
        <v>338</v>
      </c>
      <c r="I77" s="293"/>
      <c r="J77" s="61" t="s">
        <v>136</v>
      </c>
      <c r="K77" s="297"/>
      <c r="L77" s="283" t="s">
        <v>338</v>
      </c>
      <c r="M77" s="68"/>
      <c r="N77" s="68"/>
    </row>
    <row r="78" spans="2:14" s="56" customFormat="1" hidden="1">
      <c r="B78" s="264" t="s">
        <v>615</v>
      </c>
      <c r="C78" s="264" t="s">
        <v>595</v>
      </c>
      <c r="D78" s="292"/>
      <c r="E78" s="352" t="s">
        <v>616</v>
      </c>
      <c r="F78" s="264" t="s">
        <v>617</v>
      </c>
      <c r="G78" s="300" t="s">
        <v>618</v>
      </c>
      <c r="H78" s="281" t="s">
        <v>338</v>
      </c>
      <c r="I78" s="293"/>
      <c r="J78" s="250" t="s">
        <v>136</v>
      </c>
      <c r="K78" s="276"/>
      <c r="L78" s="276" t="s">
        <v>338</v>
      </c>
      <c r="M78" s="68"/>
      <c r="N78" s="68"/>
    </row>
    <row r="79" spans="2:14" hidden="1">
      <c r="B79" s="313" t="s">
        <v>619</v>
      </c>
      <c r="C79" s="313" t="s">
        <v>620</v>
      </c>
      <c r="D79" s="262"/>
      <c r="E79" s="313" t="s">
        <v>621</v>
      </c>
      <c r="F79" s="264" t="s">
        <v>622</v>
      </c>
      <c r="G79" s="6" t="s">
        <v>623</v>
      </c>
      <c r="H79" s="353" t="s">
        <v>338</v>
      </c>
      <c r="I79" s="262"/>
      <c r="J79" s="250" t="s">
        <v>624</v>
      </c>
      <c r="K79" s="276" t="s">
        <v>338</v>
      </c>
      <c r="L79" s="276" t="s">
        <v>338</v>
      </c>
    </row>
    <row r="80" spans="2:14" hidden="1">
      <c r="B80" s="313" t="s">
        <v>625</v>
      </c>
      <c r="C80" s="313" t="s">
        <v>626</v>
      </c>
      <c r="D80" s="257"/>
      <c r="E80" s="325" t="s">
        <v>627</v>
      </c>
      <c r="F80" s="264" t="s">
        <v>628</v>
      </c>
      <c r="G80" s="276" t="s">
        <v>629</v>
      </c>
      <c r="H80" s="331" t="s">
        <v>338</v>
      </c>
      <c r="I80" s="262"/>
      <c r="J80" s="250">
        <v>45053</v>
      </c>
      <c r="K80" s="276" t="s">
        <v>338</v>
      </c>
      <c r="L80" s="276" t="s">
        <v>338</v>
      </c>
    </row>
    <row r="81" spans="2:12" hidden="1">
      <c r="B81" s="264" t="s">
        <v>630</v>
      </c>
      <c r="C81" s="1" t="s">
        <v>626</v>
      </c>
      <c r="D81" s="257"/>
      <c r="E81" s="1" t="s">
        <v>631</v>
      </c>
      <c r="F81" s="357" t="s">
        <v>632</v>
      </c>
      <c r="G81" s="276">
        <v>749758024</v>
      </c>
      <c r="H81" s="329" t="s">
        <v>332</v>
      </c>
      <c r="I81" s="296"/>
      <c r="J81" s="250" t="s">
        <v>136</v>
      </c>
      <c r="K81" s="281"/>
      <c r="L81" s="264"/>
    </row>
    <row r="82" spans="2:12" hidden="1">
      <c r="B82" s="264" t="s">
        <v>633</v>
      </c>
      <c r="C82" s="264" t="s">
        <v>626</v>
      </c>
      <c r="E82" s="299" t="s">
        <v>633</v>
      </c>
      <c r="F82" s="264" t="s">
        <v>634</v>
      </c>
      <c r="G82" s="312">
        <v>7979270471</v>
      </c>
      <c r="H82" s="329" t="s">
        <v>338</v>
      </c>
      <c r="I82" s="296"/>
      <c r="J82" s="250" t="s">
        <v>635</v>
      </c>
      <c r="K82" s="276" t="s">
        <v>338</v>
      </c>
      <c r="L82" s="276" t="s">
        <v>338</v>
      </c>
    </row>
    <row r="83" spans="2:12" hidden="1">
      <c r="B83" s="313" t="s">
        <v>636</v>
      </c>
      <c r="C83" s="313" t="s">
        <v>637</v>
      </c>
      <c r="D83" s="257"/>
      <c r="E83" s="324" t="s">
        <v>638</v>
      </c>
      <c r="F83" s="264" t="s">
        <v>639</v>
      </c>
      <c r="G83" s="276" t="s">
        <v>640</v>
      </c>
      <c r="H83" s="328" t="s">
        <v>338</v>
      </c>
      <c r="I83" s="262"/>
      <c r="J83" s="250" t="s">
        <v>354</v>
      </c>
      <c r="K83" s="276" t="s">
        <v>338</v>
      </c>
      <c r="L83" s="276" t="s">
        <v>338</v>
      </c>
    </row>
    <row r="84" spans="2:12" hidden="1">
      <c r="B84" s="313" t="s">
        <v>641</v>
      </c>
      <c r="C84" s="313" t="s">
        <v>642</v>
      </c>
      <c r="D84" s="257"/>
      <c r="E84" s="313" t="s">
        <v>643</v>
      </c>
      <c r="F84" s="313" t="s">
        <v>644</v>
      </c>
      <c r="G84" s="276" t="s">
        <v>645</v>
      </c>
      <c r="H84" s="328" t="s">
        <v>332</v>
      </c>
      <c r="I84" s="262"/>
      <c r="J84" s="250" t="s">
        <v>136</v>
      </c>
      <c r="K84" s="250"/>
      <c r="L84" s="264"/>
    </row>
    <row r="85" spans="2:12" hidden="1">
      <c r="B85" s="313" t="s">
        <v>646</v>
      </c>
      <c r="C85" s="313" t="s">
        <v>647</v>
      </c>
      <c r="D85" s="257"/>
      <c r="E85" s="313" t="s">
        <v>648</v>
      </c>
      <c r="F85" s="1" t="s">
        <v>649</v>
      </c>
      <c r="G85" s="276" t="s">
        <v>650</v>
      </c>
      <c r="H85" s="328" t="s">
        <v>332</v>
      </c>
      <c r="I85" s="262"/>
      <c r="J85" s="250" t="s">
        <v>136</v>
      </c>
      <c r="K85" s="250"/>
      <c r="L85" s="264"/>
    </row>
    <row r="86" spans="2:12" hidden="1">
      <c r="B86" s="313" t="s">
        <v>651</v>
      </c>
      <c r="C86" s="313" t="s">
        <v>647</v>
      </c>
      <c r="D86" s="257"/>
      <c r="E86" s="313" t="s">
        <v>652</v>
      </c>
      <c r="F86" s="313" t="s">
        <v>653</v>
      </c>
      <c r="G86" s="327" t="s">
        <v>654</v>
      </c>
      <c r="H86" s="328" t="s">
        <v>332</v>
      </c>
      <c r="I86" s="332"/>
      <c r="J86" s="250" t="s">
        <v>136</v>
      </c>
      <c r="K86" s="337"/>
      <c r="L86" s="264"/>
    </row>
    <row r="87" spans="2:12" hidden="1">
      <c r="B87" s="313" t="s">
        <v>655</v>
      </c>
      <c r="C87" s="313" t="s">
        <v>329</v>
      </c>
      <c r="D87" s="257"/>
      <c r="E87" s="313" t="s">
        <v>656</v>
      </c>
      <c r="F87" s="313" t="s">
        <v>657</v>
      </c>
      <c r="G87" s="276" t="s">
        <v>658</v>
      </c>
      <c r="H87" s="328" t="s">
        <v>332</v>
      </c>
      <c r="I87" s="262"/>
      <c r="J87" s="250" t="s">
        <v>136</v>
      </c>
      <c r="K87" s="336"/>
      <c r="L87" s="264"/>
    </row>
    <row r="88" spans="2:12" hidden="1">
      <c r="B88" s="314" t="s">
        <v>659</v>
      </c>
      <c r="C88" s="314" t="s">
        <v>660</v>
      </c>
      <c r="D88" s="257"/>
      <c r="E88" s="314" t="s">
        <v>661</v>
      </c>
      <c r="F88" s="264" t="s">
        <v>662</v>
      </c>
      <c r="G88" s="276" t="s">
        <v>663</v>
      </c>
      <c r="H88" s="329" t="s">
        <v>332</v>
      </c>
      <c r="I88" s="262"/>
      <c r="J88" s="267" t="s">
        <v>136</v>
      </c>
      <c r="K88" s="267"/>
      <c r="L88" s="264"/>
    </row>
    <row r="89" spans="2:12" hidden="1">
      <c r="B89" s="264" t="s">
        <v>664</v>
      </c>
      <c r="C89" s="264" t="s">
        <v>665</v>
      </c>
      <c r="D89" s="298" t="s">
        <v>666</v>
      </c>
      <c r="E89" s="266" t="s">
        <v>667</v>
      </c>
      <c r="F89" s="264" t="s">
        <v>668</v>
      </c>
      <c r="G89" s="312">
        <v>7947653076</v>
      </c>
      <c r="H89" s="250" t="s">
        <v>338</v>
      </c>
      <c r="I89" s="296"/>
      <c r="J89" s="250" t="s">
        <v>354</v>
      </c>
      <c r="K89" s="276" t="s">
        <v>338</v>
      </c>
      <c r="L89" s="276" t="s">
        <v>338</v>
      </c>
    </row>
    <row r="90" spans="2:12" hidden="1">
      <c r="B90" s="264" t="s">
        <v>669</v>
      </c>
      <c r="C90" s="264" t="s">
        <v>670</v>
      </c>
      <c r="D90" s="298"/>
      <c r="E90" s="266" t="s">
        <v>669</v>
      </c>
      <c r="F90" s="264" t="s">
        <v>671</v>
      </c>
      <c r="G90" s="312">
        <v>7932815507</v>
      </c>
      <c r="H90" s="250" t="s">
        <v>338</v>
      </c>
      <c r="I90" s="296"/>
      <c r="J90" s="250" t="s">
        <v>354</v>
      </c>
      <c r="K90" s="250" t="s">
        <v>332</v>
      </c>
      <c r="L90" s="276" t="s">
        <v>338</v>
      </c>
    </row>
    <row r="91" spans="2:12" hidden="1">
      <c r="B91" s="313" t="s">
        <v>672</v>
      </c>
      <c r="C91" s="313" t="s">
        <v>673</v>
      </c>
      <c r="D91" s="257"/>
      <c r="E91" s="313" t="s">
        <v>674</v>
      </c>
      <c r="F91" s="313" t="s">
        <v>675</v>
      </c>
      <c r="G91" s="276" t="s">
        <v>676</v>
      </c>
      <c r="H91" s="250" t="s">
        <v>332</v>
      </c>
      <c r="I91" s="262"/>
      <c r="J91" s="250" t="s">
        <v>136</v>
      </c>
      <c r="K91" s="250"/>
      <c r="L91" s="264"/>
    </row>
    <row r="92" spans="2:12" hidden="1">
      <c r="B92" s="264" t="s">
        <v>677</v>
      </c>
      <c r="C92" s="264" t="s">
        <v>678</v>
      </c>
      <c r="D92" s="298"/>
      <c r="E92" s="266" t="s">
        <v>679</v>
      </c>
      <c r="F92" s="264" t="s">
        <v>680</v>
      </c>
      <c r="G92" s="312">
        <v>7507516555</v>
      </c>
      <c r="H92" s="250" t="s">
        <v>338</v>
      </c>
      <c r="I92" s="296"/>
      <c r="J92" s="250">
        <v>45051</v>
      </c>
      <c r="K92" s="276" t="s">
        <v>338</v>
      </c>
      <c r="L92" s="276" t="s">
        <v>338</v>
      </c>
    </row>
    <row r="93" spans="2:12" hidden="1">
      <c r="B93" s="313" t="s">
        <v>681</v>
      </c>
      <c r="C93" s="313" t="s">
        <v>682</v>
      </c>
      <c r="D93" s="257" t="s">
        <v>678</v>
      </c>
      <c r="E93" s="313" t="s">
        <v>683</v>
      </c>
      <c r="F93" s="264" t="s">
        <v>684</v>
      </c>
      <c r="G93" s="276" t="s">
        <v>685</v>
      </c>
      <c r="H93" s="250" t="s">
        <v>338</v>
      </c>
      <c r="I93" s="262"/>
      <c r="J93" s="250" t="s">
        <v>354</v>
      </c>
      <c r="K93" s="250" t="s">
        <v>332</v>
      </c>
      <c r="L93" s="276" t="s">
        <v>338</v>
      </c>
    </row>
    <row r="94" spans="2:12" hidden="1">
      <c r="B94" s="264" t="s">
        <v>686</v>
      </c>
      <c r="C94" s="264" t="s">
        <v>687</v>
      </c>
      <c r="D94" s="298"/>
      <c r="E94" s="264"/>
      <c r="F94" s="264"/>
      <c r="G94" s="300" t="s">
        <v>688</v>
      </c>
      <c r="H94" s="281" t="s">
        <v>338</v>
      </c>
      <c r="I94" s="296"/>
      <c r="J94" s="281"/>
      <c r="K94" s="281"/>
      <c r="L94" s="264"/>
    </row>
    <row r="95" spans="2:12" hidden="1">
      <c r="B95" s="264" t="s">
        <v>689</v>
      </c>
      <c r="C95" s="264" t="s">
        <v>434</v>
      </c>
      <c r="D95" s="298"/>
      <c r="E95" s="264" t="s">
        <v>690</v>
      </c>
      <c r="F95" s="264" t="s">
        <v>691</v>
      </c>
      <c r="G95" s="300" t="s">
        <v>692</v>
      </c>
      <c r="H95" s="281" t="s">
        <v>338</v>
      </c>
      <c r="I95" s="296"/>
      <c r="J95" s="281"/>
      <c r="K95" s="281"/>
      <c r="L95" s="264"/>
    </row>
    <row r="96" spans="2:12" hidden="1">
      <c r="B96" s="264" t="s">
        <v>693</v>
      </c>
      <c r="C96" s="264" t="s">
        <v>495</v>
      </c>
      <c r="D96" s="298"/>
      <c r="E96" s="264" t="s">
        <v>693</v>
      </c>
      <c r="F96" t="s">
        <v>694</v>
      </c>
      <c r="G96" s="300" t="s">
        <v>695</v>
      </c>
      <c r="H96" s="281" t="s">
        <v>338</v>
      </c>
      <c r="I96" s="296"/>
      <c r="J96" s="281"/>
      <c r="K96" s="281"/>
      <c r="L96" s="264"/>
    </row>
    <row r="97" spans="2:12" hidden="1">
      <c r="B97" s="264" t="s">
        <v>696</v>
      </c>
      <c r="C97" s="264" t="s">
        <v>678</v>
      </c>
      <c r="D97" s="298"/>
      <c r="E97" s="264" t="s">
        <v>697</v>
      </c>
      <c r="F97" s="1" t="s">
        <v>698</v>
      </c>
      <c r="G97" s="300" t="s">
        <v>699</v>
      </c>
      <c r="H97" s="281" t="s">
        <v>338</v>
      </c>
      <c r="I97" s="296"/>
      <c r="J97" s="281"/>
      <c r="K97" s="281"/>
      <c r="L97" s="264"/>
    </row>
    <row r="98" spans="2:12" hidden="1">
      <c r="B98" s="264"/>
      <c r="C98" s="264"/>
      <c r="D98" s="298"/>
      <c r="E98" s="264"/>
      <c r="F98" s="264"/>
      <c r="G98" s="276"/>
      <c r="H98" s="281"/>
      <c r="I98" s="296"/>
      <c r="J98" s="281"/>
      <c r="K98" s="281"/>
      <c r="L98" s="264"/>
    </row>
    <row r="99" spans="2:12" hidden="1">
      <c r="B99" s="264"/>
      <c r="C99" s="264"/>
      <c r="D99" s="298"/>
      <c r="E99" s="264"/>
      <c r="F99" s="264"/>
      <c r="G99" s="276"/>
      <c r="H99" s="281"/>
      <c r="I99" s="296"/>
      <c r="J99" s="281"/>
      <c r="K99" s="281"/>
      <c r="L99" s="264"/>
    </row>
    <row r="100" spans="2:12" hidden="1">
      <c r="B100" s="264"/>
      <c r="C100" s="264"/>
      <c r="D100" s="298"/>
      <c r="E100" s="264"/>
      <c r="F100" s="264"/>
      <c r="G100" s="276"/>
      <c r="H100" s="281"/>
      <c r="I100" s="296"/>
      <c r="J100" s="281"/>
      <c r="K100" s="281"/>
      <c r="L100" s="264"/>
    </row>
    <row r="101" spans="2:12" hidden="1">
      <c r="B101" s="264"/>
      <c r="C101" s="264"/>
      <c r="D101" s="298"/>
      <c r="E101" s="264"/>
      <c r="F101" s="264"/>
      <c r="G101" s="276"/>
      <c r="H101" s="281"/>
      <c r="I101" s="296"/>
      <c r="J101" s="281"/>
      <c r="K101" s="281"/>
      <c r="L101" s="264"/>
    </row>
    <row r="102" spans="2:12" hidden="1">
      <c r="B102" s="264"/>
      <c r="C102" s="264"/>
      <c r="D102" s="298"/>
      <c r="E102" s="264"/>
      <c r="F102" s="264"/>
      <c r="G102" s="276"/>
      <c r="H102" s="281"/>
      <c r="I102" s="296"/>
      <c r="J102" s="281"/>
      <c r="K102" s="281"/>
      <c r="L102" s="264"/>
    </row>
    <row r="103" spans="2:12" hidden="1">
      <c r="B103" s="264"/>
      <c r="C103" s="264"/>
      <c r="D103" s="298"/>
      <c r="E103" s="264"/>
      <c r="F103" s="264"/>
      <c r="G103" s="276"/>
      <c r="H103" s="281"/>
      <c r="I103" s="296"/>
      <c r="J103" s="281"/>
      <c r="K103" s="281"/>
      <c r="L103" s="264"/>
    </row>
    <row r="104" spans="2:12" hidden="1">
      <c r="B104" s="264"/>
      <c r="C104" s="264"/>
      <c r="D104" s="298"/>
      <c r="E104" s="264"/>
      <c r="F104" s="264"/>
      <c r="G104" s="276"/>
      <c r="H104" s="281"/>
      <c r="I104" s="296"/>
      <c r="J104" s="281"/>
      <c r="K104" s="281"/>
      <c r="L104" s="264"/>
    </row>
    <row r="105" spans="2:12" hidden="1">
      <c r="B105" s="264"/>
      <c r="C105" s="264"/>
      <c r="D105" s="298"/>
      <c r="E105" s="264"/>
      <c r="F105" s="264"/>
      <c r="G105" s="276"/>
      <c r="H105" s="281"/>
      <c r="I105" s="296"/>
      <c r="J105" s="281"/>
      <c r="K105" s="281"/>
      <c r="L105" s="264"/>
    </row>
    <row r="106" spans="2:12" hidden="1">
      <c r="B106" s="264"/>
      <c r="C106" s="264"/>
      <c r="D106" s="298"/>
      <c r="E106" s="264"/>
      <c r="F106" s="264"/>
      <c r="G106" s="276"/>
      <c r="H106" s="281"/>
      <c r="I106" s="296"/>
      <c r="J106" s="281"/>
      <c r="K106" s="281"/>
      <c r="L106" s="264"/>
    </row>
    <row r="107" spans="2:12" hidden="1">
      <c r="B107" s="264"/>
      <c r="C107" s="264"/>
      <c r="D107" s="298"/>
      <c r="E107" s="264"/>
      <c r="F107" s="264"/>
      <c r="G107" s="276"/>
      <c r="H107" s="281"/>
      <c r="I107" s="296"/>
      <c r="J107" s="281"/>
      <c r="K107" s="281"/>
      <c r="L107" s="264"/>
    </row>
    <row r="108" spans="2:12" hidden="1">
      <c r="B108" s="264"/>
      <c r="C108" s="264"/>
      <c r="D108" s="298"/>
      <c r="E108" s="264"/>
      <c r="F108" s="264"/>
      <c r="G108" s="276"/>
      <c r="H108" s="281"/>
      <c r="I108" s="296"/>
      <c r="J108" s="281"/>
      <c r="K108" s="281"/>
      <c r="L108" s="264"/>
    </row>
    <row r="109" spans="2:12" hidden="1">
      <c r="F109" s="1"/>
      <c r="G109" s="6"/>
      <c r="H109" s="55"/>
      <c r="I109" s="258"/>
    </row>
    <row r="110" spans="2:12" hidden="1">
      <c r="F110" s="1"/>
      <c r="G110" s="6"/>
      <c r="H110" s="55"/>
      <c r="I110" s="258"/>
    </row>
    <row r="111" spans="2:12" hidden="1">
      <c r="F111" s="1"/>
      <c r="G111" s="6"/>
      <c r="H111" s="55"/>
      <c r="I111" s="258"/>
    </row>
    <row r="112" spans="2:12" hidden="1">
      <c r="F112" s="1"/>
      <c r="G112" s="6"/>
      <c r="H112" s="55"/>
      <c r="I112" s="258"/>
    </row>
    <row r="113" spans="6:9" hidden="1">
      <c r="F113" s="1"/>
      <c r="G113" s="6"/>
      <c r="H113" s="55"/>
      <c r="I113" s="258"/>
    </row>
    <row r="114" spans="6:9" hidden="1">
      <c r="F114" s="1"/>
      <c r="G114" s="6"/>
      <c r="H114" s="55"/>
      <c r="I114" s="258"/>
    </row>
    <row r="115" spans="6:9" hidden="1">
      <c r="F115" s="1"/>
      <c r="G115" s="6"/>
      <c r="H115" s="55"/>
      <c r="I115" s="258"/>
    </row>
    <row r="116" spans="6:9" hidden="1">
      <c r="F116" s="1"/>
      <c r="G116" s="6"/>
      <c r="H116" s="55"/>
      <c r="I116" s="258"/>
    </row>
    <row r="117" spans="6:9" hidden="1">
      <c r="F117" s="1"/>
      <c r="G117" s="6"/>
      <c r="H117" s="55"/>
      <c r="I117" s="258"/>
    </row>
    <row r="118" spans="6:9" hidden="1">
      <c r="F118" s="1"/>
      <c r="G118" s="6"/>
      <c r="H118" s="55"/>
      <c r="I118" s="258"/>
    </row>
    <row r="119" spans="6:9" hidden="1">
      <c r="F119" s="1"/>
      <c r="G119" s="6"/>
      <c r="H119" s="55"/>
      <c r="I119" s="258"/>
    </row>
    <row r="120" spans="6:9" hidden="1">
      <c r="F120" s="1"/>
      <c r="G120" s="6"/>
      <c r="H120" s="55"/>
      <c r="I120" s="258"/>
    </row>
    <row r="121" spans="6:9" hidden="1">
      <c r="F121" s="1"/>
      <c r="G121" s="6"/>
      <c r="H121" s="55"/>
      <c r="I121" s="258"/>
    </row>
    <row r="122" spans="6:9" hidden="1">
      <c r="F122" s="1"/>
      <c r="G122" s="6"/>
      <c r="H122" s="55"/>
      <c r="I122" s="258"/>
    </row>
    <row r="123" spans="6:9" hidden="1">
      <c r="F123" s="1"/>
      <c r="G123" s="6"/>
      <c r="H123" s="55"/>
      <c r="I123" s="258"/>
    </row>
    <row r="124" spans="6:9" hidden="1">
      <c r="F124" s="1"/>
      <c r="G124" s="6"/>
      <c r="H124" s="55"/>
      <c r="I124" s="258"/>
    </row>
    <row r="125" spans="6:9" hidden="1">
      <c r="F125" s="1"/>
      <c r="G125" s="6"/>
      <c r="H125" s="55"/>
      <c r="I125" s="258"/>
    </row>
    <row r="126" spans="6:9" hidden="1">
      <c r="F126" s="1"/>
      <c r="G126" s="6"/>
      <c r="H126" s="55"/>
      <c r="I126" s="258"/>
    </row>
    <row r="127" spans="6:9" hidden="1">
      <c r="F127" s="1"/>
      <c r="G127" s="6"/>
      <c r="H127" s="55"/>
      <c r="I127" s="258"/>
    </row>
    <row r="128" spans="6:9" hidden="1">
      <c r="F128" s="1"/>
      <c r="G128" s="6"/>
      <c r="H128" s="55"/>
      <c r="I128" s="258"/>
    </row>
    <row r="129" spans="6:9" hidden="1">
      <c r="F129" s="1"/>
      <c r="G129" s="6"/>
      <c r="H129" s="55"/>
      <c r="I129" s="258"/>
    </row>
    <row r="130" spans="6:9" hidden="1">
      <c r="F130" s="1"/>
      <c r="G130" s="6"/>
      <c r="H130" s="55"/>
      <c r="I130" s="258"/>
    </row>
    <row r="131" spans="6:9" hidden="1">
      <c r="F131" s="1"/>
      <c r="G131" s="6"/>
      <c r="H131" s="55"/>
      <c r="I131" s="258"/>
    </row>
    <row r="132" spans="6:9" hidden="1">
      <c r="F132" s="1"/>
      <c r="G132" s="6"/>
      <c r="H132" s="55"/>
      <c r="I132" s="258"/>
    </row>
    <row r="133" spans="6:9" hidden="1">
      <c r="F133" s="1"/>
      <c r="G133" s="6"/>
      <c r="H133" s="55"/>
      <c r="I133" s="258"/>
    </row>
    <row r="134" spans="6:9" hidden="1">
      <c r="F134" s="1"/>
      <c r="G134" s="6"/>
      <c r="H134" s="55"/>
      <c r="I134" s="258"/>
    </row>
    <row r="135" spans="6:9" hidden="1">
      <c r="F135" s="1"/>
      <c r="G135" s="6"/>
      <c r="H135" s="55"/>
      <c r="I135" s="258"/>
    </row>
    <row r="136" spans="6:9" hidden="1">
      <c r="F136" s="1"/>
      <c r="G136" s="6"/>
      <c r="H136" s="55"/>
      <c r="I136" s="258"/>
    </row>
    <row r="137" spans="6:9" hidden="1">
      <c r="F137" s="1"/>
      <c r="G137" s="6"/>
      <c r="H137" s="55"/>
      <c r="I137" s="258"/>
    </row>
    <row r="138" spans="6:9" hidden="1">
      <c r="F138" s="1"/>
      <c r="G138" s="6"/>
      <c r="H138" s="55"/>
      <c r="I138" s="258"/>
    </row>
    <row r="139" spans="6:9" hidden="1">
      <c r="F139" s="1"/>
      <c r="G139" s="6"/>
      <c r="H139" s="55"/>
      <c r="I139" s="258"/>
    </row>
    <row r="140" spans="6:9" hidden="1">
      <c r="F140" s="1"/>
      <c r="G140" s="6"/>
      <c r="H140" s="55"/>
      <c r="I140" s="258"/>
    </row>
    <row r="141" spans="6:9" hidden="1">
      <c r="F141" s="1"/>
      <c r="G141" s="6"/>
      <c r="H141" s="55"/>
      <c r="I141" s="258"/>
    </row>
    <row r="142" spans="6:9" hidden="1">
      <c r="F142" s="1"/>
      <c r="G142" s="6"/>
      <c r="H142" s="55"/>
      <c r="I142" s="258"/>
    </row>
    <row r="143" spans="6:9" hidden="1">
      <c r="F143" s="1"/>
      <c r="G143" s="6"/>
      <c r="H143" s="55"/>
      <c r="I143" s="258"/>
    </row>
    <row r="144" spans="6:9" hidden="1">
      <c r="F144" s="1"/>
      <c r="G144" s="6"/>
      <c r="H144" s="55"/>
      <c r="I144" s="258"/>
    </row>
    <row r="145" spans="6:9" hidden="1">
      <c r="F145" s="1"/>
      <c r="G145" s="6"/>
      <c r="H145" s="55"/>
      <c r="I145" s="258"/>
    </row>
    <row r="146" spans="6:9" hidden="1">
      <c r="F146" s="1"/>
      <c r="G146" s="6"/>
      <c r="H146" s="55"/>
      <c r="I146" s="258"/>
    </row>
    <row r="147" spans="6:9" hidden="1">
      <c r="F147" s="1"/>
      <c r="G147" s="6"/>
      <c r="H147" s="55"/>
      <c r="I147" s="258"/>
    </row>
    <row r="148" spans="6:9" hidden="1">
      <c r="F148" s="1"/>
      <c r="G148" s="6"/>
      <c r="H148" s="55"/>
      <c r="I148" s="258"/>
    </row>
    <row r="149" spans="6:9" hidden="1">
      <c r="F149" s="1"/>
      <c r="G149" s="6"/>
      <c r="H149" s="55"/>
      <c r="I149" s="258"/>
    </row>
    <row r="150" spans="6:9" hidden="1">
      <c r="F150" s="1"/>
      <c r="G150" s="6"/>
      <c r="H150" s="55"/>
      <c r="I150" s="258"/>
    </row>
    <row r="151" spans="6:9" hidden="1">
      <c r="F151" s="1"/>
      <c r="G151" s="6"/>
      <c r="H151" s="55"/>
      <c r="I151" s="258"/>
    </row>
    <row r="152" spans="6:9" hidden="1">
      <c r="F152" s="1"/>
      <c r="G152" s="6"/>
      <c r="H152" s="55"/>
      <c r="I152" s="258"/>
    </row>
    <row r="153" spans="6:9" hidden="1">
      <c r="F153" s="1"/>
      <c r="G153" s="6"/>
      <c r="H153" s="55"/>
      <c r="I153" s="258"/>
    </row>
    <row r="154" spans="6:9" hidden="1">
      <c r="F154" s="1"/>
      <c r="G154" s="6"/>
      <c r="H154" s="55"/>
      <c r="I154" s="258"/>
    </row>
    <row r="155" spans="6:9" hidden="1">
      <c r="F155" s="1"/>
      <c r="G155" s="6"/>
      <c r="H155" s="55"/>
      <c r="I155" s="258"/>
    </row>
    <row r="156" spans="6:9" hidden="1">
      <c r="F156" s="1"/>
      <c r="G156" s="6"/>
      <c r="H156" s="55"/>
      <c r="I156" s="258"/>
    </row>
    <row r="157" spans="6:9" hidden="1">
      <c r="F157" s="1"/>
      <c r="G157" s="6"/>
      <c r="H157" s="55"/>
      <c r="I157" s="258"/>
    </row>
    <row r="158" spans="6:9" hidden="1">
      <c r="F158" s="1"/>
      <c r="G158" s="6"/>
      <c r="H158" s="55"/>
      <c r="I158" s="258"/>
    </row>
    <row r="159" spans="6:9" hidden="1">
      <c r="F159" s="1"/>
      <c r="G159" s="6"/>
      <c r="H159" s="55"/>
      <c r="I159" s="258"/>
    </row>
    <row r="160" spans="6:9" hidden="1">
      <c r="F160" s="1"/>
      <c r="G160" s="6"/>
      <c r="H160" s="55"/>
      <c r="I160" s="258"/>
    </row>
    <row r="161" spans="6:9" hidden="1">
      <c r="F161" s="1"/>
      <c r="G161" s="6"/>
      <c r="H161" s="55"/>
      <c r="I161" s="258"/>
    </row>
    <row r="162" spans="6:9" hidden="1">
      <c r="F162" s="1"/>
      <c r="G162" s="6"/>
      <c r="H162" s="55"/>
      <c r="I162" s="258"/>
    </row>
    <row r="163" spans="6:9" hidden="1">
      <c r="F163" s="1"/>
      <c r="G163" s="6"/>
      <c r="H163" s="55"/>
      <c r="I163" s="258"/>
    </row>
    <row r="164" spans="6:9" hidden="1">
      <c r="F164" s="1"/>
      <c r="G164" s="6"/>
      <c r="H164" s="55"/>
      <c r="I164" s="258"/>
    </row>
    <row r="165" spans="6:9" hidden="1">
      <c r="F165" s="1"/>
      <c r="G165" s="6"/>
      <c r="H165" s="55"/>
      <c r="I165" s="258"/>
    </row>
    <row r="166" spans="6:9" hidden="1">
      <c r="F166" s="1"/>
      <c r="G166" s="6"/>
      <c r="H166" s="55"/>
      <c r="I166" s="258"/>
    </row>
    <row r="167" spans="6:9" hidden="1">
      <c r="F167" s="1"/>
      <c r="G167" s="6"/>
      <c r="H167" s="55"/>
      <c r="I167" s="258"/>
    </row>
    <row r="168" spans="6:9" hidden="1">
      <c r="F168" s="1"/>
      <c r="G168" s="6"/>
      <c r="H168" s="55"/>
      <c r="I168" s="258"/>
    </row>
    <row r="169" spans="6:9" hidden="1">
      <c r="F169" s="1"/>
      <c r="G169" s="6"/>
      <c r="H169" s="55"/>
      <c r="I169" s="258"/>
    </row>
    <row r="170" spans="6:9" hidden="1">
      <c r="F170" s="1"/>
      <c r="G170" s="6"/>
      <c r="H170" s="55"/>
      <c r="I170" s="258"/>
    </row>
    <row r="171" spans="6:9" hidden="1">
      <c r="F171" s="1"/>
      <c r="G171" s="6"/>
      <c r="H171" s="55"/>
      <c r="I171" s="258"/>
    </row>
    <row r="172" spans="6:9" hidden="1">
      <c r="F172" s="1"/>
      <c r="G172" s="6"/>
      <c r="H172" s="55"/>
      <c r="I172" s="258"/>
    </row>
    <row r="173" spans="6:9" hidden="1">
      <c r="F173" s="1"/>
      <c r="G173" s="6"/>
      <c r="H173" s="55"/>
      <c r="I173" s="258"/>
    </row>
    <row r="174" spans="6:9" hidden="1">
      <c r="F174" s="1"/>
      <c r="G174" s="6"/>
      <c r="H174" s="55"/>
      <c r="I174" s="258"/>
    </row>
    <row r="175" spans="6:9" hidden="1">
      <c r="F175" s="1"/>
      <c r="G175" s="6"/>
      <c r="H175" s="55"/>
      <c r="I175" s="258"/>
    </row>
    <row r="176" spans="6:9" hidden="1">
      <c r="F176" s="1"/>
      <c r="G176" s="6"/>
      <c r="H176" s="55"/>
      <c r="I176" s="258"/>
    </row>
    <row r="177" spans="6:9" hidden="1">
      <c r="F177" s="1"/>
      <c r="G177" s="6"/>
      <c r="H177" s="55"/>
      <c r="I177" s="258"/>
    </row>
    <row r="178" spans="6:9" hidden="1">
      <c r="F178" s="1"/>
      <c r="G178" s="6"/>
      <c r="H178" s="55"/>
      <c r="I178" s="258"/>
    </row>
    <row r="179" spans="6:9" hidden="1">
      <c r="F179" s="1"/>
      <c r="G179" s="6"/>
      <c r="H179" s="55"/>
      <c r="I179" s="258"/>
    </row>
    <row r="180" spans="6:9" hidden="1">
      <c r="F180" s="1"/>
      <c r="G180" s="6"/>
      <c r="H180" s="55"/>
      <c r="I180" s="258"/>
    </row>
    <row r="181" spans="6:9" hidden="1">
      <c r="F181" s="1"/>
      <c r="G181" s="6"/>
      <c r="H181" s="55"/>
      <c r="I181" s="258"/>
    </row>
    <row r="182" spans="6:9" hidden="1">
      <c r="F182" s="1"/>
      <c r="G182" s="6"/>
      <c r="H182" s="55"/>
      <c r="I182" s="258"/>
    </row>
    <row r="183" spans="6:9" hidden="1">
      <c r="F183" s="1"/>
      <c r="G183" s="6"/>
      <c r="H183" s="55"/>
      <c r="I183" s="258"/>
    </row>
    <row r="184" spans="6:9" hidden="1">
      <c r="F184" s="1"/>
      <c r="G184" s="6"/>
      <c r="H184" s="55"/>
      <c r="I184" s="258"/>
    </row>
    <row r="185" spans="6:9" hidden="1">
      <c r="F185" s="1"/>
      <c r="G185" s="6"/>
      <c r="H185" s="55"/>
      <c r="I185" s="258"/>
    </row>
    <row r="186" spans="6:9" hidden="1">
      <c r="F186" s="1"/>
      <c r="G186" s="6"/>
      <c r="H186" s="55"/>
      <c r="I186" s="258"/>
    </row>
    <row r="187" spans="6:9" hidden="1">
      <c r="F187" s="1"/>
      <c r="G187" s="6"/>
      <c r="H187" s="55"/>
      <c r="I187" s="258"/>
    </row>
    <row r="188" spans="6:9" hidden="1">
      <c r="F188" s="1"/>
      <c r="G188" s="6"/>
      <c r="H188" s="55"/>
      <c r="I188" s="258"/>
    </row>
    <row r="189" spans="6:9" hidden="1">
      <c r="F189" s="1"/>
      <c r="G189" s="6"/>
      <c r="H189" s="55"/>
      <c r="I189" s="258"/>
    </row>
    <row r="190" spans="6:9" hidden="1">
      <c r="F190" s="1"/>
      <c r="G190" s="6"/>
      <c r="H190" s="55"/>
      <c r="I190" s="258"/>
    </row>
    <row r="191" spans="6:9" hidden="1">
      <c r="F191" s="1"/>
      <c r="G191" s="6"/>
      <c r="H191" s="55"/>
      <c r="I191" s="258"/>
    </row>
    <row r="192" spans="6:9" hidden="1">
      <c r="F192" s="1"/>
      <c r="G192" s="6"/>
      <c r="H192" s="55"/>
      <c r="I192" s="258"/>
    </row>
    <row r="193" spans="6:9" hidden="1">
      <c r="F193" s="1"/>
      <c r="G193" s="6"/>
      <c r="H193" s="55"/>
      <c r="I193" s="258"/>
    </row>
    <row r="194" spans="6:9" hidden="1">
      <c r="F194" s="1"/>
      <c r="G194" s="6"/>
      <c r="H194" s="55"/>
      <c r="I194" s="258"/>
    </row>
    <row r="195" spans="6:9" hidden="1">
      <c r="F195" s="1"/>
      <c r="G195" s="6"/>
      <c r="H195" s="55"/>
      <c r="I195" s="258"/>
    </row>
    <row r="196" spans="6:9" hidden="1">
      <c r="F196" s="1"/>
      <c r="G196" s="6"/>
      <c r="H196" s="55"/>
      <c r="I196" s="258"/>
    </row>
    <row r="197" spans="6:9" hidden="1">
      <c r="F197" s="1"/>
      <c r="G197" s="6"/>
      <c r="H197" s="55"/>
      <c r="I197" s="258"/>
    </row>
    <row r="198" spans="6:9" hidden="1">
      <c r="F198" s="1"/>
      <c r="G198" s="6"/>
      <c r="H198" s="55"/>
      <c r="I198" s="258"/>
    </row>
    <row r="199" spans="6:9" hidden="1">
      <c r="F199" s="1"/>
      <c r="G199" s="6"/>
      <c r="H199" s="55"/>
      <c r="I199" s="258"/>
    </row>
    <row r="200" spans="6:9" hidden="1">
      <c r="F200" s="1"/>
      <c r="G200" s="6"/>
      <c r="H200" s="55"/>
      <c r="I200" s="258"/>
    </row>
    <row r="201" spans="6:9" hidden="1">
      <c r="F201" s="1"/>
      <c r="G201" s="6"/>
      <c r="H201" s="55"/>
      <c r="I201" s="258"/>
    </row>
    <row r="202" spans="6:9" hidden="1">
      <c r="F202" s="1"/>
      <c r="G202" s="6"/>
      <c r="H202" s="55"/>
      <c r="I202" s="258"/>
    </row>
    <row r="203" spans="6:9" hidden="1">
      <c r="F203" s="1"/>
      <c r="G203" s="6"/>
      <c r="H203" s="55"/>
      <c r="I203" s="258"/>
    </row>
    <row r="204" spans="6:9" hidden="1">
      <c r="F204" s="1"/>
      <c r="G204" s="6"/>
      <c r="H204" s="55"/>
      <c r="I204" s="258"/>
    </row>
    <row r="205" spans="6:9" hidden="1">
      <c r="F205" s="1"/>
      <c r="G205" s="6"/>
      <c r="H205" s="55"/>
      <c r="I205" s="258"/>
    </row>
    <row r="206" spans="6:9" hidden="1">
      <c r="F206" s="1"/>
      <c r="G206" s="6"/>
      <c r="H206" s="55"/>
      <c r="I206" s="258"/>
    </row>
    <row r="207" spans="6:9" hidden="1">
      <c r="F207" s="1"/>
      <c r="G207" s="6"/>
      <c r="H207" s="55"/>
      <c r="I207" s="258"/>
    </row>
    <row r="208" spans="6:9" hidden="1">
      <c r="F208" s="1"/>
      <c r="G208" s="6"/>
      <c r="H208" s="55"/>
      <c r="I208" s="258"/>
    </row>
    <row r="209" spans="6:9" hidden="1">
      <c r="F209" s="1"/>
      <c r="G209" s="6"/>
      <c r="H209" s="55"/>
      <c r="I209" s="258"/>
    </row>
    <row r="210" spans="6:9" hidden="1">
      <c r="F210" s="1"/>
      <c r="G210" s="6"/>
      <c r="H210" s="55"/>
      <c r="I210" s="258"/>
    </row>
    <row r="211" spans="6:9" hidden="1">
      <c r="F211" s="1"/>
      <c r="G211" s="6"/>
      <c r="H211" s="55"/>
      <c r="I211" s="258"/>
    </row>
    <row r="212" spans="6:9" hidden="1">
      <c r="F212" s="1"/>
      <c r="G212" s="6"/>
      <c r="H212" s="55"/>
      <c r="I212" s="258"/>
    </row>
    <row r="213" spans="6:9" hidden="1">
      <c r="F213" s="1"/>
      <c r="G213" s="6"/>
      <c r="H213" s="55"/>
      <c r="I213" s="258"/>
    </row>
    <row r="214" spans="6:9" hidden="1">
      <c r="F214" s="1"/>
      <c r="G214" s="6"/>
      <c r="H214" s="55"/>
      <c r="I214" s="258"/>
    </row>
    <row r="215" spans="6:9" hidden="1">
      <c r="F215" s="1"/>
      <c r="G215" s="6"/>
      <c r="H215" s="55"/>
      <c r="I215" s="258"/>
    </row>
    <row r="216" spans="6:9" hidden="1">
      <c r="F216" s="1"/>
      <c r="G216" s="6"/>
      <c r="H216" s="55"/>
      <c r="I216" s="258"/>
    </row>
    <row r="217" spans="6:9" hidden="1">
      <c r="F217" s="1"/>
      <c r="G217" s="6"/>
      <c r="H217" s="55"/>
      <c r="I217" s="258"/>
    </row>
    <row r="218" spans="6:9" hidden="1">
      <c r="F218" s="1"/>
      <c r="G218" s="6"/>
      <c r="H218" s="55"/>
      <c r="I218" s="258"/>
    </row>
    <row r="219" spans="6:9" hidden="1">
      <c r="F219" s="1"/>
      <c r="G219" s="6"/>
      <c r="H219" s="55"/>
      <c r="I219" s="258"/>
    </row>
    <row r="220" spans="6:9" hidden="1">
      <c r="F220" s="1"/>
      <c r="G220" s="6"/>
      <c r="H220" s="55"/>
      <c r="I220" s="258"/>
    </row>
    <row r="221" spans="6:9" hidden="1">
      <c r="F221" s="1"/>
      <c r="G221" s="6"/>
      <c r="H221" s="55"/>
      <c r="I221" s="258"/>
    </row>
    <row r="222" spans="6:9" hidden="1">
      <c r="F222" s="1"/>
      <c r="G222" s="6"/>
      <c r="H222" s="55"/>
      <c r="I222" s="258"/>
    </row>
    <row r="223" spans="6:9" hidden="1">
      <c r="F223" s="1"/>
      <c r="G223" s="6"/>
      <c r="H223" s="55"/>
      <c r="I223" s="258"/>
    </row>
    <row r="224" spans="6:9" hidden="1">
      <c r="F224" s="1"/>
      <c r="G224" s="6"/>
      <c r="H224" s="55"/>
      <c r="I224" s="258"/>
    </row>
    <row r="225" spans="6:9" hidden="1">
      <c r="F225" s="1"/>
      <c r="G225" s="6"/>
      <c r="H225" s="55"/>
      <c r="I225" s="258"/>
    </row>
    <row r="226" spans="6:9" hidden="1">
      <c r="F226" s="1"/>
      <c r="G226" s="6"/>
      <c r="H226" s="55"/>
      <c r="I226" s="258"/>
    </row>
    <row r="227" spans="6:9" hidden="1">
      <c r="F227" s="1"/>
      <c r="G227" s="6"/>
      <c r="H227" s="55"/>
      <c r="I227" s="258"/>
    </row>
    <row r="228" spans="6:9" hidden="1">
      <c r="F228" s="1"/>
      <c r="G228" s="6"/>
      <c r="H228" s="55"/>
      <c r="I228" s="258"/>
    </row>
    <row r="229" spans="6:9" hidden="1">
      <c r="F229" s="1"/>
      <c r="G229" s="6"/>
      <c r="H229" s="55"/>
      <c r="I229" s="258"/>
    </row>
    <row r="230" spans="6:9" hidden="1">
      <c r="F230" s="1"/>
      <c r="G230" s="6"/>
      <c r="H230" s="55"/>
      <c r="I230" s="258"/>
    </row>
    <row r="231" spans="6:9" hidden="1">
      <c r="F231" s="1"/>
      <c r="G231" s="6"/>
      <c r="H231" s="55"/>
      <c r="I231" s="258"/>
    </row>
    <row r="232" spans="6:9" hidden="1">
      <c r="F232" s="1"/>
      <c r="G232" s="6"/>
      <c r="H232" s="55"/>
      <c r="I232" s="258"/>
    </row>
    <row r="233" spans="6:9" hidden="1">
      <c r="F233" s="1"/>
      <c r="G233" s="6"/>
      <c r="H233" s="55"/>
      <c r="I233" s="258"/>
    </row>
    <row r="234" spans="6:9" hidden="1">
      <c r="F234" s="1"/>
      <c r="G234" s="6"/>
      <c r="H234" s="55"/>
      <c r="I234" s="258"/>
    </row>
    <row r="235" spans="6:9" hidden="1">
      <c r="F235" s="1"/>
      <c r="G235" s="6"/>
      <c r="H235" s="55"/>
      <c r="I235" s="258"/>
    </row>
    <row r="236" spans="6:9" hidden="1">
      <c r="F236" s="1"/>
      <c r="G236" s="6"/>
      <c r="H236" s="55"/>
      <c r="I236" s="258"/>
    </row>
    <row r="237" spans="6:9" hidden="1">
      <c r="F237" s="1"/>
      <c r="G237" s="6"/>
      <c r="H237" s="55"/>
      <c r="I237" s="258"/>
    </row>
    <row r="238" spans="6:9" hidden="1">
      <c r="F238" s="1"/>
      <c r="G238" s="6"/>
      <c r="H238" s="55"/>
      <c r="I238" s="258"/>
    </row>
    <row r="239" spans="6:9" hidden="1">
      <c r="F239" s="1"/>
      <c r="G239" s="6"/>
      <c r="H239" s="55"/>
      <c r="I239" s="258"/>
    </row>
    <row r="240" spans="6:9" hidden="1">
      <c r="F240" s="1"/>
      <c r="G240" s="6"/>
      <c r="H240" s="55"/>
      <c r="I240" s="258"/>
    </row>
    <row r="241" spans="6:9" hidden="1">
      <c r="F241" s="1"/>
      <c r="G241" s="6"/>
      <c r="H241" s="55"/>
      <c r="I241" s="258"/>
    </row>
    <row r="242" spans="6:9" hidden="1">
      <c r="F242" s="1"/>
      <c r="G242" s="6"/>
      <c r="H242" s="55"/>
      <c r="I242" s="258"/>
    </row>
    <row r="243" spans="6:9" hidden="1">
      <c r="F243" s="1"/>
      <c r="G243" s="6"/>
      <c r="H243" s="55"/>
      <c r="I243" s="258"/>
    </row>
    <row r="244" spans="6:9" hidden="1">
      <c r="F244" s="1"/>
      <c r="G244" s="6"/>
      <c r="H244" s="55"/>
      <c r="I244" s="258"/>
    </row>
    <row r="245" spans="6:9" hidden="1">
      <c r="F245" s="1"/>
      <c r="G245" s="6"/>
      <c r="H245" s="55"/>
      <c r="I245" s="258"/>
    </row>
    <row r="246" spans="6:9" hidden="1">
      <c r="F246" s="1"/>
      <c r="G246" s="6"/>
      <c r="H246" s="55"/>
      <c r="I246" s="258"/>
    </row>
    <row r="247" spans="6:9" hidden="1">
      <c r="F247" s="1"/>
      <c r="G247" s="6"/>
      <c r="H247" s="55"/>
      <c r="I247" s="258"/>
    </row>
    <row r="248" spans="6:9" hidden="1">
      <c r="F248" s="1"/>
      <c r="G248" s="6"/>
      <c r="H248" s="55"/>
      <c r="I248" s="258"/>
    </row>
    <row r="249" spans="6:9" hidden="1">
      <c r="F249" s="1"/>
      <c r="G249" s="6"/>
      <c r="H249" s="55"/>
      <c r="I249" s="258"/>
    </row>
    <row r="250" spans="6:9" hidden="1">
      <c r="F250" s="1"/>
      <c r="G250" s="6"/>
      <c r="H250" s="55"/>
      <c r="I250" s="258"/>
    </row>
    <row r="251" spans="6:9" hidden="1">
      <c r="F251" s="1"/>
      <c r="G251" s="6"/>
      <c r="H251" s="55"/>
      <c r="I251" s="258"/>
    </row>
    <row r="252" spans="6:9" hidden="1">
      <c r="F252" s="1"/>
      <c r="G252" s="6"/>
      <c r="H252" s="55"/>
      <c r="I252" s="258"/>
    </row>
    <row r="253" spans="6:9" hidden="1">
      <c r="F253" s="1"/>
      <c r="G253" s="6"/>
      <c r="H253" s="55"/>
      <c r="I253" s="258"/>
    </row>
    <row r="254" spans="6:9" hidden="1">
      <c r="F254" s="1"/>
      <c r="G254" s="6"/>
      <c r="H254" s="55"/>
      <c r="I254" s="258"/>
    </row>
    <row r="255" spans="6:9" hidden="1">
      <c r="F255" s="1"/>
      <c r="G255" s="6"/>
      <c r="H255" s="55"/>
      <c r="I255" s="258"/>
    </row>
    <row r="256" spans="6:9" hidden="1">
      <c r="F256" s="1"/>
      <c r="G256" s="6"/>
      <c r="H256" s="55"/>
      <c r="I256" s="258"/>
    </row>
    <row r="257" spans="6:9" hidden="1">
      <c r="F257" s="1"/>
      <c r="G257" s="6"/>
      <c r="H257" s="55"/>
      <c r="I257" s="258"/>
    </row>
    <row r="258" spans="6:9" hidden="1">
      <c r="F258" s="1"/>
      <c r="G258" s="6"/>
      <c r="H258" s="55"/>
      <c r="I258" s="258"/>
    </row>
    <row r="259" spans="6:9" hidden="1">
      <c r="F259" s="1"/>
      <c r="G259" s="6"/>
      <c r="H259" s="55"/>
      <c r="I259" s="258"/>
    </row>
    <row r="260" spans="6:9" hidden="1">
      <c r="F260" s="1"/>
      <c r="G260" s="6"/>
      <c r="H260" s="55"/>
      <c r="I260" s="258"/>
    </row>
    <row r="261" spans="6:9" hidden="1">
      <c r="F261" s="1"/>
      <c r="G261" s="6"/>
      <c r="H261" s="55"/>
      <c r="I261" s="258"/>
    </row>
    <row r="262" spans="6:9" hidden="1">
      <c r="F262" s="1"/>
      <c r="G262" s="6"/>
      <c r="H262" s="55"/>
      <c r="I262" s="258"/>
    </row>
    <row r="263" spans="6:9" hidden="1">
      <c r="F263" s="1"/>
      <c r="G263" s="6"/>
      <c r="H263" s="55"/>
      <c r="I263" s="258"/>
    </row>
    <row r="264" spans="6:9" hidden="1">
      <c r="F264" s="1"/>
      <c r="G264" s="6"/>
      <c r="H264" s="55"/>
      <c r="I264" s="258"/>
    </row>
    <row r="265" spans="6:9" hidden="1">
      <c r="F265" s="1"/>
      <c r="G265" s="6"/>
      <c r="H265" s="55"/>
      <c r="I265" s="258"/>
    </row>
    <row r="266" spans="6:9" hidden="1">
      <c r="F266" s="1"/>
      <c r="G266" s="6"/>
      <c r="H266" s="55"/>
      <c r="I266" s="258"/>
    </row>
    <row r="267" spans="6:9" hidden="1">
      <c r="F267" s="1"/>
      <c r="G267" s="6"/>
      <c r="H267" s="55"/>
      <c r="I267" s="258"/>
    </row>
    <row r="268" spans="6:9" hidden="1">
      <c r="F268" s="1"/>
      <c r="G268" s="6"/>
      <c r="H268" s="55"/>
      <c r="I268" s="258"/>
    </row>
    <row r="269" spans="6:9" hidden="1">
      <c r="F269" s="1"/>
      <c r="G269" s="6"/>
      <c r="H269" s="55"/>
      <c r="I269" s="258"/>
    </row>
    <row r="270" spans="6:9" hidden="1">
      <c r="F270" s="1"/>
      <c r="G270" s="6"/>
      <c r="H270" s="55"/>
      <c r="I270" s="258"/>
    </row>
    <row r="271" spans="6:9" hidden="1">
      <c r="F271" s="1"/>
      <c r="G271" s="6"/>
      <c r="H271" s="55"/>
      <c r="I271" s="258"/>
    </row>
    <row r="272" spans="6:9" hidden="1">
      <c r="F272" s="1"/>
      <c r="G272" s="6"/>
      <c r="H272" s="55"/>
      <c r="I272" s="258"/>
    </row>
    <row r="273" spans="6:9" hidden="1">
      <c r="F273" s="1"/>
      <c r="G273" s="6"/>
      <c r="H273" s="55"/>
      <c r="I273" s="258"/>
    </row>
    <row r="274" spans="6:9" hidden="1">
      <c r="F274" s="1"/>
      <c r="G274" s="6"/>
      <c r="H274" s="55"/>
      <c r="I274" s="258"/>
    </row>
    <row r="275" spans="6:9" hidden="1">
      <c r="F275" s="1"/>
      <c r="G275" s="6"/>
      <c r="H275" s="55"/>
      <c r="I275" s="258"/>
    </row>
    <row r="276" spans="6:9" hidden="1">
      <c r="F276" s="1"/>
      <c r="G276" s="6"/>
      <c r="H276" s="55"/>
      <c r="I276" s="258"/>
    </row>
    <row r="277" spans="6:9" hidden="1">
      <c r="F277" s="1"/>
      <c r="G277" s="6"/>
      <c r="H277" s="55"/>
      <c r="I277" s="258"/>
    </row>
    <row r="278" spans="6:9" hidden="1">
      <c r="F278" s="1"/>
      <c r="G278" s="6"/>
      <c r="H278" s="55"/>
      <c r="I278" s="258"/>
    </row>
    <row r="279" spans="6:9" hidden="1">
      <c r="F279" s="1"/>
      <c r="G279" s="6"/>
      <c r="H279" s="55"/>
      <c r="I279" s="258"/>
    </row>
    <row r="280" spans="6:9" hidden="1">
      <c r="F280" s="1"/>
      <c r="G280" s="6"/>
      <c r="H280" s="55"/>
      <c r="I280" s="258"/>
    </row>
    <row r="281" spans="6:9" hidden="1">
      <c r="F281" s="1"/>
      <c r="G281" s="6"/>
      <c r="H281" s="55"/>
      <c r="I281" s="258"/>
    </row>
    <row r="282" spans="6:9" hidden="1">
      <c r="F282" s="1"/>
      <c r="G282" s="6"/>
      <c r="H282" s="55"/>
      <c r="I282" s="258"/>
    </row>
    <row r="283" spans="6:9" hidden="1">
      <c r="F283" s="1"/>
      <c r="G283" s="6"/>
      <c r="H283" s="55"/>
      <c r="I283" s="258"/>
    </row>
    <row r="284" spans="6:9" hidden="1">
      <c r="F284" s="1"/>
      <c r="G284" s="6"/>
      <c r="H284" s="55"/>
      <c r="I284" s="258"/>
    </row>
    <row r="285" spans="6:9" hidden="1">
      <c r="F285" s="1"/>
      <c r="G285" s="6"/>
      <c r="H285" s="55"/>
      <c r="I285" s="258"/>
    </row>
    <row r="286" spans="6:9" hidden="1">
      <c r="F286" s="1"/>
      <c r="G286" s="6"/>
      <c r="H286" s="55"/>
      <c r="I286" s="258"/>
    </row>
    <row r="287" spans="6:9" hidden="1">
      <c r="F287" s="1"/>
      <c r="G287" s="6"/>
      <c r="H287" s="55"/>
      <c r="I287" s="258"/>
    </row>
    <row r="288" spans="6:9" hidden="1">
      <c r="F288" s="1"/>
      <c r="G288" s="6"/>
      <c r="H288" s="55"/>
      <c r="I288" s="258"/>
    </row>
    <row r="289" spans="6:9" hidden="1">
      <c r="F289" s="1"/>
      <c r="G289" s="6"/>
      <c r="H289" s="55"/>
      <c r="I289" s="258"/>
    </row>
    <row r="290" spans="6:9" hidden="1">
      <c r="F290" s="1"/>
      <c r="G290" s="6"/>
      <c r="H290" s="55"/>
      <c r="I290" s="258"/>
    </row>
    <row r="291" spans="6:9" hidden="1">
      <c r="F291" s="1"/>
      <c r="G291" s="6"/>
      <c r="H291" s="55"/>
      <c r="I291" s="258"/>
    </row>
    <row r="292" spans="6:9" hidden="1">
      <c r="F292" s="1"/>
      <c r="G292" s="6"/>
      <c r="H292" s="55"/>
      <c r="I292" s="258"/>
    </row>
    <row r="293" spans="6:9" hidden="1">
      <c r="F293" s="1"/>
      <c r="G293" s="6"/>
      <c r="H293" s="55"/>
      <c r="I293" s="258"/>
    </row>
    <row r="294" spans="6:9" hidden="1">
      <c r="F294" s="1"/>
      <c r="G294" s="6"/>
      <c r="H294" s="55"/>
      <c r="I294" s="258"/>
    </row>
    <row r="295" spans="6:9" hidden="1">
      <c r="F295" s="1"/>
      <c r="G295" s="6"/>
      <c r="H295" s="55"/>
      <c r="I295" s="258"/>
    </row>
    <row r="296" spans="6:9" hidden="1">
      <c r="F296" s="1"/>
      <c r="G296" s="6"/>
      <c r="H296" s="55"/>
      <c r="I296" s="258"/>
    </row>
    <row r="297" spans="6:9" hidden="1">
      <c r="F297" s="1"/>
      <c r="G297" s="6"/>
      <c r="H297" s="55"/>
      <c r="I297" s="258"/>
    </row>
    <row r="298" spans="6:9" hidden="1">
      <c r="F298" s="1"/>
      <c r="G298" s="6"/>
      <c r="H298" s="55"/>
      <c r="I298" s="258"/>
    </row>
    <row r="299" spans="6:9" hidden="1">
      <c r="F299" s="1"/>
      <c r="G299" s="6"/>
      <c r="H299" s="55"/>
      <c r="I299" s="258"/>
    </row>
    <row r="300" spans="6:9" hidden="1">
      <c r="F300" s="1"/>
      <c r="G300" s="6"/>
      <c r="H300" s="55"/>
      <c r="I300" s="258"/>
    </row>
    <row r="301" spans="6:9" hidden="1">
      <c r="F301" s="1"/>
      <c r="G301" s="6"/>
      <c r="H301" s="55"/>
      <c r="I301" s="258"/>
    </row>
    <row r="302" spans="6:9" hidden="1">
      <c r="F302" s="1"/>
      <c r="G302" s="6"/>
      <c r="H302" s="55"/>
      <c r="I302" s="258"/>
    </row>
    <row r="303" spans="6:9" hidden="1">
      <c r="F303" s="1"/>
      <c r="G303" s="6"/>
      <c r="H303" s="55"/>
      <c r="I303" s="258"/>
    </row>
    <row r="304" spans="6:9" hidden="1">
      <c r="F304" s="1"/>
      <c r="G304" s="6"/>
      <c r="H304" s="55"/>
      <c r="I304" s="258"/>
    </row>
    <row r="305" spans="6:9" hidden="1">
      <c r="F305" s="1"/>
      <c r="G305" s="6"/>
      <c r="H305" s="55"/>
      <c r="I305" s="258"/>
    </row>
    <row r="306" spans="6:9" hidden="1">
      <c r="F306" s="1"/>
      <c r="G306" s="6"/>
      <c r="H306" s="55"/>
      <c r="I306" s="258"/>
    </row>
    <row r="307" spans="6:9" hidden="1">
      <c r="F307" s="1"/>
      <c r="G307" s="6"/>
      <c r="H307" s="55"/>
      <c r="I307" s="258"/>
    </row>
    <row r="308" spans="6:9" hidden="1">
      <c r="F308" s="1"/>
      <c r="G308" s="6"/>
      <c r="H308" s="55"/>
      <c r="I308" s="258"/>
    </row>
    <row r="309" spans="6:9" hidden="1">
      <c r="F309" s="1"/>
      <c r="G309" s="6"/>
      <c r="H309" s="55"/>
      <c r="I309" s="258"/>
    </row>
    <row r="310" spans="6:9" hidden="1">
      <c r="F310" s="1"/>
      <c r="G310" s="6"/>
      <c r="H310" s="55"/>
      <c r="I310" s="258"/>
    </row>
    <row r="311" spans="6:9" hidden="1">
      <c r="F311" s="1"/>
      <c r="G311" s="6"/>
      <c r="H311" s="55"/>
      <c r="I311" s="258"/>
    </row>
    <row r="312" spans="6:9" hidden="1">
      <c r="F312" s="1"/>
      <c r="G312" s="6"/>
      <c r="H312" s="55"/>
      <c r="I312" s="258"/>
    </row>
    <row r="313" spans="6:9" hidden="1">
      <c r="F313" s="1"/>
      <c r="G313" s="6"/>
      <c r="H313" s="55"/>
      <c r="I313" s="258"/>
    </row>
    <row r="314" spans="6:9" hidden="1">
      <c r="F314" s="1"/>
      <c r="G314" s="6"/>
      <c r="H314" s="55"/>
      <c r="I314" s="258"/>
    </row>
    <row r="315" spans="6:9" hidden="1">
      <c r="F315" s="1"/>
      <c r="G315" s="6"/>
      <c r="H315" s="55"/>
      <c r="I315" s="258"/>
    </row>
    <row r="316" spans="6:9" hidden="1">
      <c r="F316" s="1"/>
      <c r="G316" s="6"/>
      <c r="H316" s="55"/>
      <c r="I316" s="258"/>
    </row>
    <row r="317" spans="6:9" hidden="1">
      <c r="F317" s="1"/>
      <c r="G317" s="6"/>
      <c r="H317" s="55"/>
      <c r="I317" s="258"/>
    </row>
    <row r="318" spans="6:9" hidden="1">
      <c r="F318" s="1"/>
      <c r="G318" s="6"/>
      <c r="H318" s="55"/>
      <c r="I318" s="258"/>
    </row>
    <row r="319" spans="6:9" hidden="1">
      <c r="F319" s="1"/>
      <c r="G319" s="6"/>
      <c r="H319" s="55"/>
      <c r="I319" s="258"/>
    </row>
    <row r="320" spans="6:9" hidden="1">
      <c r="F320" s="1"/>
      <c r="G320" s="6"/>
      <c r="H320" s="55"/>
      <c r="I320" s="258"/>
    </row>
    <row r="321" spans="6:9" hidden="1">
      <c r="F321" s="1"/>
      <c r="G321" s="6"/>
      <c r="H321" s="55"/>
      <c r="I321" s="258"/>
    </row>
    <row r="322" spans="6:9" hidden="1">
      <c r="F322" s="1"/>
      <c r="G322" s="6"/>
      <c r="H322" s="55"/>
      <c r="I322" s="258"/>
    </row>
    <row r="323" spans="6:9" hidden="1">
      <c r="F323" s="1"/>
      <c r="G323" s="6"/>
      <c r="H323" s="55"/>
      <c r="I323" s="258"/>
    </row>
    <row r="324" spans="6:9" hidden="1">
      <c r="F324" s="1"/>
      <c r="G324" s="6"/>
      <c r="H324" s="55"/>
      <c r="I324" s="258"/>
    </row>
    <row r="325" spans="6:9" hidden="1">
      <c r="F325" s="1"/>
      <c r="G325" s="6"/>
      <c r="H325" s="55"/>
      <c r="I325" s="258"/>
    </row>
    <row r="326" spans="6:9" hidden="1">
      <c r="F326" s="1"/>
      <c r="G326" s="6"/>
      <c r="H326" s="55"/>
      <c r="I326" s="258"/>
    </row>
    <row r="327" spans="6:9" hidden="1">
      <c r="F327" s="1"/>
      <c r="G327" s="6"/>
      <c r="H327" s="55"/>
      <c r="I327" s="258"/>
    </row>
    <row r="328" spans="6:9" hidden="1">
      <c r="F328" s="1"/>
      <c r="G328" s="6"/>
      <c r="H328" s="55"/>
      <c r="I328" s="258"/>
    </row>
    <row r="329" spans="6:9" hidden="1">
      <c r="F329" s="1"/>
      <c r="G329" s="6"/>
      <c r="H329" s="55"/>
      <c r="I329" s="258"/>
    </row>
    <row r="330" spans="6:9" hidden="1">
      <c r="F330" s="1"/>
      <c r="G330" s="6"/>
      <c r="H330" s="55"/>
      <c r="I330" s="258"/>
    </row>
    <row r="331" spans="6:9" hidden="1">
      <c r="F331" s="1"/>
      <c r="G331" s="6"/>
      <c r="H331" s="55"/>
      <c r="I331" s="258"/>
    </row>
    <row r="332" spans="6:9" hidden="1">
      <c r="F332" s="1"/>
      <c r="G332" s="6"/>
      <c r="H332" s="55"/>
      <c r="I332" s="258"/>
    </row>
    <row r="333" spans="6:9" hidden="1">
      <c r="F333" s="1"/>
      <c r="G333" s="6"/>
      <c r="H333" s="55"/>
      <c r="I333" s="258"/>
    </row>
    <row r="334" spans="6:9" hidden="1">
      <c r="F334" s="1"/>
      <c r="G334" s="6"/>
      <c r="H334" s="55"/>
      <c r="I334" s="258"/>
    </row>
    <row r="335" spans="6:9" hidden="1">
      <c r="F335" s="1"/>
      <c r="G335" s="6"/>
      <c r="H335" s="55"/>
      <c r="I335" s="258"/>
    </row>
    <row r="336" spans="6:9" hidden="1">
      <c r="F336" s="1"/>
      <c r="G336" s="6"/>
      <c r="H336" s="55"/>
      <c r="I336" s="258"/>
    </row>
    <row r="337" spans="6:9" hidden="1">
      <c r="F337" s="1"/>
      <c r="G337" s="6"/>
      <c r="H337" s="55"/>
      <c r="I337" s="258"/>
    </row>
    <row r="338" spans="6:9" hidden="1">
      <c r="F338" s="1"/>
      <c r="G338" s="6"/>
      <c r="H338" s="55"/>
      <c r="I338" s="258"/>
    </row>
    <row r="339" spans="6:9" hidden="1">
      <c r="F339" s="1"/>
      <c r="G339" s="6"/>
      <c r="H339" s="55"/>
      <c r="I339" s="258"/>
    </row>
    <row r="340" spans="6:9" hidden="1">
      <c r="F340" s="1"/>
      <c r="G340" s="6"/>
      <c r="H340" s="55"/>
      <c r="I340" s="258"/>
    </row>
    <row r="341" spans="6:9" hidden="1">
      <c r="F341" s="1"/>
      <c r="G341" s="6"/>
      <c r="H341" s="55"/>
      <c r="I341" s="258"/>
    </row>
    <row r="342" spans="6:9" hidden="1">
      <c r="F342" s="1"/>
      <c r="G342" s="6"/>
      <c r="H342" s="55"/>
      <c r="I342" s="258"/>
    </row>
    <row r="343" spans="6:9" hidden="1">
      <c r="F343" s="1"/>
      <c r="G343" s="6"/>
      <c r="H343" s="55"/>
      <c r="I343" s="258"/>
    </row>
    <row r="344" spans="6:9" hidden="1">
      <c r="F344" s="1"/>
      <c r="G344" s="6"/>
      <c r="H344" s="55"/>
      <c r="I344" s="258"/>
    </row>
    <row r="345" spans="6:9" hidden="1">
      <c r="F345" s="1"/>
      <c r="G345" s="6"/>
      <c r="H345" s="55"/>
      <c r="I345" s="258"/>
    </row>
    <row r="346" spans="6:9" hidden="1">
      <c r="F346" s="1"/>
      <c r="G346" s="6"/>
      <c r="H346" s="55"/>
      <c r="I346" s="258"/>
    </row>
    <row r="347" spans="6:9" hidden="1">
      <c r="F347" s="1"/>
      <c r="G347" s="6"/>
      <c r="H347" s="55"/>
      <c r="I347" s="258"/>
    </row>
    <row r="348" spans="6:9" hidden="1">
      <c r="F348" s="1"/>
      <c r="G348" s="6"/>
      <c r="H348" s="55"/>
      <c r="I348" s="258"/>
    </row>
    <row r="349" spans="6:9" hidden="1">
      <c r="F349" s="1"/>
      <c r="G349" s="6"/>
      <c r="H349" s="55"/>
      <c r="I349" s="258"/>
    </row>
    <row r="350" spans="6:9" hidden="1">
      <c r="F350" s="1"/>
      <c r="G350" s="6"/>
      <c r="H350" s="55"/>
      <c r="I350" s="258"/>
    </row>
    <row r="351" spans="6:9" hidden="1">
      <c r="F351" s="1"/>
      <c r="G351" s="6"/>
      <c r="H351" s="55"/>
      <c r="I351" s="258"/>
    </row>
    <row r="352" spans="6:9" hidden="1">
      <c r="F352" s="1"/>
      <c r="G352" s="6"/>
      <c r="H352" s="55"/>
      <c r="I352" s="258"/>
    </row>
    <row r="353" spans="6:9" hidden="1">
      <c r="F353" s="1"/>
      <c r="G353" s="6"/>
      <c r="H353" s="55"/>
      <c r="I353" s="258"/>
    </row>
    <row r="354" spans="6:9" hidden="1">
      <c r="F354" s="1"/>
      <c r="G354" s="6"/>
      <c r="H354" s="55"/>
      <c r="I354" s="258"/>
    </row>
    <row r="355" spans="6:9" hidden="1">
      <c r="F355" s="1"/>
      <c r="G355" s="6"/>
      <c r="H355" s="55"/>
      <c r="I355" s="258"/>
    </row>
    <row r="356" spans="6:9" hidden="1">
      <c r="F356" s="1"/>
      <c r="G356" s="6"/>
      <c r="H356" s="55"/>
      <c r="I356" s="258"/>
    </row>
    <row r="357" spans="6:9" hidden="1">
      <c r="F357" s="1"/>
      <c r="G357" s="6"/>
      <c r="H357" s="55"/>
      <c r="I357" s="258"/>
    </row>
    <row r="358" spans="6:9" hidden="1">
      <c r="F358" s="1"/>
      <c r="G358" s="6"/>
      <c r="H358" s="55"/>
      <c r="I358" s="258"/>
    </row>
    <row r="359" spans="6:9" hidden="1">
      <c r="F359" s="1"/>
      <c r="G359" s="6"/>
      <c r="H359" s="55"/>
      <c r="I359" s="258"/>
    </row>
    <row r="360" spans="6:9" hidden="1">
      <c r="F360" s="1"/>
      <c r="G360" s="6"/>
      <c r="H360" s="55"/>
      <c r="I360" s="258"/>
    </row>
    <row r="361" spans="6:9" hidden="1">
      <c r="F361" s="1"/>
      <c r="G361" s="6"/>
      <c r="H361" s="55"/>
      <c r="I361" s="258"/>
    </row>
    <row r="362" spans="6:9" hidden="1">
      <c r="F362" s="1"/>
      <c r="G362" s="6"/>
      <c r="H362" s="55"/>
      <c r="I362" s="258"/>
    </row>
    <row r="363" spans="6:9" hidden="1">
      <c r="F363" s="1"/>
      <c r="G363" s="6"/>
      <c r="H363" s="55"/>
      <c r="I363" s="258"/>
    </row>
    <row r="364" spans="6:9" hidden="1">
      <c r="F364" s="1"/>
      <c r="G364" s="6"/>
      <c r="H364" s="55"/>
      <c r="I364" s="258"/>
    </row>
    <row r="365" spans="6:9" hidden="1">
      <c r="F365" s="1"/>
      <c r="G365" s="6"/>
      <c r="H365" s="55"/>
      <c r="I365" s="258"/>
    </row>
    <row r="366" spans="6:9" hidden="1">
      <c r="F366" s="1"/>
      <c r="G366" s="6"/>
      <c r="H366" s="55"/>
      <c r="I366" s="258"/>
    </row>
    <row r="367" spans="6:9" hidden="1">
      <c r="F367" s="1"/>
      <c r="G367" s="6"/>
      <c r="H367" s="55"/>
      <c r="I367" s="258"/>
    </row>
    <row r="368" spans="6:9" hidden="1">
      <c r="F368" s="1"/>
      <c r="G368" s="6"/>
      <c r="H368" s="55"/>
      <c r="I368" s="258"/>
    </row>
    <row r="369" spans="6:9" hidden="1">
      <c r="F369" s="1"/>
      <c r="G369" s="6"/>
      <c r="H369" s="55"/>
      <c r="I369" s="258"/>
    </row>
    <row r="370" spans="6:9" hidden="1">
      <c r="F370" s="1"/>
      <c r="G370" s="6"/>
      <c r="H370" s="55"/>
      <c r="I370" s="258"/>
    </row>
    <row r="371" spans="6:9" hidden="1">
      <c r="F371" s="1"/>
      <c r="G371" s="6"/>
      <c r="H371" s="55"/>
      <c r="I371" s="258"/>
    </row>
    <row r="372" spans="6:9" hidden="1">
      <c r="F372" s="1"/>
      <c r="G372" s="6"/>
      <c r="H372" s="55"/>
      <c r="I372" s="258"/>
    </row>
    <row r="373" spans="6:9" hidden="1">
      <c r="F373" s="1"/>
      <c r="G373" s="6"/>
      <c r="H373" s="55"/>
      <c r="I373" s="258"/>
    </row>
    <row r="374" spans="6:9" hidden="1">
      <c r="F374" s="1"/>
      <c r="G374" s="6"/>
      <c r="H374" s="55"/>
      <c r="I374" s="258"/>
    </row>
    <row r="375" spans="6:9" hidden="1">
      <c r="F375" s="1"/>
      <c r="G375" s="6"/>
      <c r="H375" s="55"/>
      <c r="I375" s="258"/>
    </row>
    <row r="376" spans="6:9" hidden="1">
      <c r="F376" s="1"/>
      <c r="G376" s="6"/>
      <c r="H376" s="55"/>
      <c r="I376" s="258"/>
    </row>
    <row r="377" spans="6:9" hidden="1">
      <c r="F377" s="1"/>
      <c r="G377" s="6"/>
      <c r="H377" s="55"/>
      <c r="I377" s="258"/>
    </row>
    <row r="378" spans="6:9" hidden="1">
      <c r="F378" s="1"/>
      <c r="G378" s="6"/>
      <c r="H378" s="55"/>
      <c r="I378" s="258"/>
    </row>
    <row r="379" spans="6:9" hidden="1">
      <c r="F379" s="1"/>
      <c r="G379" s="6"/>
      <c r="H379" s="55"/>
      <c r="I379" s="258"/>
    </row>
    <row r="380" spans="6:9" hidden="1">
      <c r="F380" s="1"/>
      <c r="G380" s="6"/>
      <c r="H380" s="55"/>
      <c r="I380" s="258"/>
    </row>
    <row r="381" spans="6:9" hidden="1">
      <c r="F381" s="1"/>
      <c r="G381" s="6"/>
      <c r="H381" s="55"/>
      <c r="I381" s="258"/>
    </row>
    <row r="382" spans="6:9" hidden="1">
      <c r="F382" s="1"/>
      <c r="G382" s="6"/>
      <c r="H382" s="55"/>
      <c r="I382" s="258"/>
    </row>
    <row r="383" spans="6:9" hidden="1">
      <c r="F383" s="1"/>
      <c r="G383" s="6"/>
      <c r="H383" s="55"/>
      <c r="I383" s="258"/>
    </row>
    <row r="384" spans="6:9" hidden="1">
      <c r="F384" s="1"/>
      <c r="G384" s="6"/>
      <c r="H384" s="55"/>
      <c r="I384" s="258"/>
    </row>
    <row r="385" spans="6:9" hidden="1">
      <c r="F385" s="1"/>
      <c r="G385" s="6"/>
      <c r="H385" s="55"/>
      <c r="I385" s="258"/>
    </row>
    <row r="386" spans="6:9" hidden="1">
      <c r="F386" s="1"/>
      <c r="G386" s="6"/>
      <c r="H386" s="55"/>
      <c r="I386" s="258"/>
    </row>
    <row r="387" spans="6:9" hidden="1">
      <c r="F387" s="1"/>
      <c r="G387" s="6"/>
      <c r="H387" s="55"/>
      <c r="I387" s="258"/>
    </row>
    <row r="388" spans="6:9" hidden="1">
      <c r="F388" s="1"/>
      <c r="G388" s="6"/>
      <c r="H388" s="55"/>
      <c r="I388" s="258"/>
    </row>
    <row r="389" spans="6:9" hidden="1">
      <c r="F389" s="1"/>
      <c r="G389" s="6"/>
      <c r="H389" s="55"/>
      <c r="I389" s="258"/>
    </row>
    <row r="390" spans="6:9" hidden="1">
      <c r="F390" s="1"/>
      <c r="G390" s="6"/>
      <c r="H390" s="55"/>
      <c r="I390" s="258"/>
    </row>
    <row r="391" spans="6:9" hidden="1">
      <c r="F391" s="1"/>
      <c r="G391" s="6"/>
      <c r="H391" s="55"/>
      <c r="I391" s="258"/>
    </row>
    <row r="392" spans="6:9" hidden="1">
      <c r="F392" s="1"/>
      <c r="G392" s="6"/>
      <c r="H392" s="55"/>
      <c r="I392" s="258"/>
    </row>
    <row r="393" spans="6:9" hidden="1">
      <c r="F393" s="1"/>
      <c r="G393" s="6"/>
      <c r="H393" s="55"/>
      <c r="I393" s="258"/>
    </row>
    <row r="394" spans="6:9" hidden="1">
      <c r="F394" s="1"/>
      <c r="G394" s="6"/>
      <c r="H394" s="55"/>
      <c r="I394" s="258"/>
    </row>
    <row r="395" spans="6:9" hidden="1">
      <c r="F395" s="1"/>
      <c r="G395" s="6"/>
      <c r="H395" s="55"/>
      <c r="I395" s="258"/>
    </row>
    <row r="396" spans="6:9" hidden="1">
      <c r="F396" s="1"/>
      <c r="G396" s="6"/>
      <c r="H396" s="55"/>
      <c r="I396" s="258"/>
    </row>
    <row r="397" spans="6:9" hidden="1">
      <c r="F397" s="1"/>
      <c r="G397" s="6"/>
      <c r="H397" s="55"/>
      <c r="I397" s="258"/>
    </row>
    <row r="398" spans="6:9" hidden="1">
      <c r="F398" s="1"/>
      <c r="G398" s="6"/>
      <c r="H398" s="55"/>
      <c r="I398" s="258"/>
    </row>
    <row r="399" spans="6:9" hidden="1">
      <c r="F399" s="1"/>
      <c r="G399" s="6"/>
      <c r="H399" s="55"/>
      <c r="I399" s="258"/>
    </row>
    <row r="400" spans="6:9" hidden="1">
      <c r="F400" s="1"/>
      <c r="G400" s="6"/>
      <c r="H400" s="55"/>
      <c r="I400" s="258"/>
    </row>
    <row r="401" spans="6:9" hidden="1">
      <c r="F401" s="1"/>
      <c r="G401" s="6"/>
      <c r="H401" s="55"/>
      <c r="I401" s="258"/>
    </row>
    <row r="402" spans="6:9" hidden="1">
      <c r="F402" s="1"/>
      <c r="G402" s="6"/>
      <c r="H402" s="55"/>
      <c r="I402" s="258"/>
    </row>
    <row r="403" spans="6:9" hidden="1">
      <c r="F403" s="1"/>
      <c r="G403" s="6"/>
      <c r="H403" s="55"/>
      <c r="I403" s="258"/>
    </row>
    <row r="404" spans="6:9" hidden="1">
      <c r="F404" s="1"/>
      <c r="G404" s="6"/>
      <c r="H404" s="55"/>
      <c r="I404" s="258"/>
    </row>
    <row r="405" spans="6:9" hidden="1">
      <c r="F405" s="1"/>
      <c r="G405" s="6"/>
      <c r="H405" s="55"/>
      <c r="I405" s="258"/>
    </row>
    <row r="406" spans="6:9" hidden="1">
      <c r="F406" s="1"/>
      <c r="G406" s="6"/>
      <c r="H406" s="55"/>
      <c r="I406" s="258"/>
    </row>
    <row r="407" spans="6:9" hidden="1">
      <c r="F407" s="1"/>
      <c r="G407" s="6"/>
      <c r="H407" s="55"/>
      <c r="I407" s="258"/>
    </row>
    <row r="408" spans="6:9" hidden="1">
      <c r="F408" s="1"/>
      <c r="G408" s="6"/>
      <c r="H408" s="55"/>
      <c r="I408" s="258"/>
    </row>
    <row r="409" spans="6:9" hidden="1">
      <c r="F409" s="1"/>
      <c r="G409" s="6"/>
      <c r="H409" s="55"/>
      <c r="I409" s="258"/>
    </row>
    <row r="410" spans="6:9" hidden="1">
      <c r="F410" s="1"/>
      <c r="G410" s="6"/>
      <c r="H410" s="55"/>
      <c r="I410" s="258"/>
    </row>
    <row r="411" spans="6:9" hidden="1">
      <c r="F411" s="1"/>
      <c r="G411" s="6"/>
      <c r="H411" s="55"/>
      <c r="I411" s="258"/>
    </row>
    <row r="412" spans="6:9" hidden="1">
      <c r="F412" s="1"/>
      <c r="G412" s="6"/>
      <c r="H412" s="55"/>
      <c r="I412" s="258"/>
    </row>
    <row r="413" spans="6:9" hidden="1">
      <c r="F413" s="1"/>
      <c r="G413" s="6"/>
      <c r="H413" s="55"/>
      <c r="I413" s="258"/>
    </row>
    <row r="414" spans="6:9" hidden="1">
      <c r="F414" s="1"/>
      <c r="G414" s="6"/>
      <c r="H414" s="55"/>
      <c r="I414" s="258"/>
    </row>
    <row r="415" spans="6:9" hidden="1">
      <c r="F415" s="1"/>
      <c r="G415" s="6"/>
      <c r="H415" s="55"/>
      <c r="I415" s="258"/>
    </row>
    <row r="416" spans="6:9" hidden="1">
      <c r="F416" s="1"/>
      <c r="G416" s="6"/>
      <c r="H416" s="55"/>
      <c r="I416" s="258"/>
    </row>
    <row r="417" spans="6:9" hidden="1">
      <c r="F417" s="1"/>
      <c r="G417" s="6"/>
      <c r="H417" s="55"/>
      <c r="I417" s="258"/>
    </row>
    <row r="418" spans="6:9" hidden="1">
      <c r="F418" s="1"/>
      <c r="G418" s="6"/>
      <c r="H418" s="55"/>
      <c r="I418" s="258"/>
    </row>
    <row r="419" spans="6:9" hidden="1">
      <c r="F419" s="1"/>
      <c r="G419" s="6"/>
      <c r="H419" s="55"/>
      <c r="I419" s="258"/>
    </row>
    <row r="420" spans="6:9" hidden="1">
      <c r="F420" s="1"/>
      <c r="G420" s="6"/>
      <c r="H420" s="55"/>
      <c r="I420" s="258"/>
    </row>
    <row r="421" spans="6:9" hidden="1">
      <c r="F421" s="1"/>
      <c r="G421" s="6"/>
      <c r="H421" s="55"/>
      <c r="I421" s="258"/>
    </row>
    <row r="422" spans="6:9" hidden="1">
      <c r="F422" s="1"/>
      <c r="G422" s="6"/>
      <c r="H422" s="55"/>
      <c r="I422" s="258"/>
    </row>
    <row r="423" spans="6:9" hidden="1">
      <c r="F423" s="1"/>
      <c r="G423" s="6"/>
      <c r="H423" s="55"/>
      <c r="I423" s="258"/>
    </row>
    <row r="424" spans="6:9" hidden="1">
      <c r="F424" s="1"/>
      <c r="G424" s="6"/>
      <c r="H424" s="55"/>
      <c r="I424" s="258"/>
    </row>
    <row r="425" spans="6:9" hidden="1">
      <c r="F425" s="1"/>
      <c r="G425" s="6"/>
      <c r="H425" s="55"/>
      <c r="I425" s="258"/>
    </row>
    <row r="426" spans="6:9" hidden="1">
      <c r="F426" s="1"/>
      <c r="G426" s="6"/>
      <c r="H426" s="55"/>
      <c r="I426" s="258"/>
    </row>
    <row r="427" spans="6:9" hidden="1">
      <c r="F427" s="1"/>
      <c r="G427" s="6"/>
      <c r="H427" s="55"/>
      <c r="I427" s="258"/>
    </row>
    <row r="428" spans="6:9" hidden="1">
      <c r="F428" s="1"/>
      <c r="G428" s="6"/>
      <c r="H428" s="55"/>
      <c r="I428" s="258"/>
    </row>
    <row r="429" spans="6:9" hidden="1">
      <c r="F429" s="1"/>
      <c r="G429" s="6"/>
      <c r="H429" s="55"/>
      <c r="I429" s="258"/>
    </row>
    <row r="430" spans="6:9" hidden="1">
      <c r="F430" s="1"/>
      <c r="G430" s="6"/>
      <c r="H430" s="55"/>
      <c r="I430" s="258"/>
    </row>
    <row r="431" spans="6:9" hidden="1">
      <c r="F431" s="1"/>
      <c r="G431" s="6"/>
      <c r="H431" s="55"/>
      <c r="I431" s="258"/>
    </row>
    <row r="432" spans="6:9" hidden="1">
      <c r="F432" s="1"/>
      <c r="G432" s="6"/>
      <c r="H432" s="55"/>
      <c r="I432" s="258"/>
    </row>
    <row r="433" spans="6:9" hidden="1">
      <c r="F433" s="1"/>
      <c r="G433" s="6"/>
      <c r="H433" s="55"/>
      <c r="I433" s="258"/>
    </row>
    <row r="434" spans="6:9" hidden="1">
      <c r="F434" s="1"/>
      <c r="G434" s="6"/>
      <c r="H434" s="55"/>
      <c r="I434" s="258"/>
    </row>
    <row r="435" spans="6:9" hidden="1">
      <c r="F435" s="1"/>
      <c r="G435" s="6"/>
      <c r="H435" s="55"/>
      <c r="I435" s="258"/>
    </row>
    <row r="436" spans="6:9" hidden="1">
      <c r="F436" s="1"/>
      <c r="G436" s="6"/>
      <c r="H436" s="55"/>
      <c r="I436" s="258"/>
    </row>
    <row r="437" spans="6:9" hidden="1">
      <c r="F437" s="1"/>
      <c r="G437" s="6"/>
      <c r="H437" s="55"/>
      <c r="I437" s="258"/>
    </row>
    <row r="438" spans="6:9" hidden="1">
      <c r="F438" s="1"/>
      <c r="G438" s="6"/>
      <c r="H438" s="55"/>
      <c r="I438" s="258"/>
    </row>
    <row r="439" spans="6:9" hidden="1">
      <c r="F439" s="1"/>
      <c r="G439" s="6"/>
      <c r="H439" s="55"/>
      <c r="I439" s="258"/>
    </row>
    <row r="440" spans="6:9" hidden="1">
      <c r="F440" s="1"/>
      <c r="G440" s="6"/>
      <c r="H440" s="55"/>
      <c r="I440" s="258"/>
    </row>
    <row r="441" spans="6:9" hidden="1">
      <c r="F441" s="1"/>
      <c r="G441" s="6"/>
      <c r="H441" s="55"/>
      <c r="I441" s="258"/>
    </row>
    <row r="442" spans="6:9" hidden="1">
      <c r="F442" s="1"/>
      <c r="G442" s="6"/>
      <c r="H442" s="55"/>
      <c r="I442" s="258"/>
    </row>
    <row r="443" spans="6:9" hidden="1">
      <c r="F443" s="1"/>
      <c r="G443" s="6"/>
      <c r="H443" s="55"/>
      <c r="I443" s="258"/>
    </row>
    <row r="444" spans="6:9" hidden="1">
      <c r="F444" s="1"/>
      <c r="G444" s="6"/>
      <c r="H444" s="55"/>
      <c r="I444" s="258"/>
    </row>
    <row r="445" spans="6:9" hidden="1">
      <c r="F445" s="1"/>
      <c r="G445" s="6"/>
      <c r="H445" s="55"/>
      <c r="I445" s="258"/>
    </row>
    <row r="446" spans="6:9" hidden="1">
      <c r="F446" s="1"/>
      <c r="G446" s="6"/>
      <c r="H446" s="55"/>
      <c r="I446" s="258"/>
    </row>
    <row r="447" spans="6:9" hidden="1">
      <c r="F447" s="1"/>
      <c r="G447" s="6"/>
      <c r="H447" s="55"/>
      <c r="I447" s="258"/>
    </row>
    <row r="448" spans="6:9" hidden="1">
      <c r="F448" s="1"/>
      <c r="G448" s="6"/>
      <c r="H448" s="55"/>
      <c r="I448" s="258"/>
    </row>
    <row r="449" spans="6:9" hidden="1">
      <c r="F449" s="1"/>
      <c r="G449" s="6"/>
      <c r="H449" s="55"/>
      <c r="I449" s="258"/>
    </row>
    <row r="450" spans="6:9" hidden="1">
      <c r="F450" s="1"/>
      <c r="G450" s="6"/>
      <c r="H450" s="55"/>
      <c r="I450" s="258"/>
    </row>
    <row r="451" spans="6:9" hidden="1">
      <c r="F451" s="1"/>
      <c r="G451" s="6"/>
      <c r="H451" s="55"/>
      <c r="I451" s="258"/>
    </row>
    <row r="452" spans="6:9" hidden="1">
      <c r="F452" s="1"/>
      <c r="G452" s="6"/>
      <c r="H452" s="55"/>
      <c r="I452" s="258"/>
    </row>
    <row r="453" spans="6:9" hidden="1">
      <c r="F453" s="1"/>
      <c r="G453" s="6"/>
      <c r="H453" s="55"/>
      <c r="I453" s="258"/>
    </row>
    <row r="454" spans="6:9" hidden="1">
      <c r="F454" s="1"/>
      <c r="G454" s="6"/>
      <c r="H454" s="55"/>
      <c r="I454" s="258"/>
    </row>
    <row r="455" spans="6:9" hidden="1">
      <c r="F455" s="1"/>
      <c r="G455" s="6"/>
      <c r="H455" s="55"/>
      <c r="I455" s="258"/>
    </row>
    <row r="456" spans="6:9" hidden="1">
      <c r="F456" s="1"/>
      <c r="G456" s="6"/>
      <c r="H456" s="55"/>
      <c r="I456" s="258"/>
    </row>
    <row r="457" spans="6:9" hidden="1">
      <c r="F457" s="1"/>
      <c r="G457" s="6"/>
      <c r="H457" s="55"/>
      <c r="I457" s="258"/>
    </row>
    <row r="458" spans="6:9" hidden="1">
      <c r="F458" s="1"/>
      <c r="G458" s="6"/>
      <c r="H458" s="55"/>
      <c r="I458" s="258"/>
    </row>
    <row r="459" spans="6:9" hidden="1">
      <c r="F459" s="1"/>
      <c r="G459" s="6"/>
      <c r="H459" s="55"/>
      <c r="I459" s="258"/>
    </row>
    <row r="460" spans="6:9" hidden="1">
      <c r="F460" s="1"/>
      <c r="G460" s="6"/>
      <c r="H460" s="55"/>
      <c r="I460" s="258"/>
    </row>
    <row r="461" spans="6:9" hidden="1">
      <c r="F461" s="1"/>
      <c r="G461" s="6"/>
      <c r="H461" s="55"/>
      <c r="I461" s="258"/>
    </row>
    <row r="462" spans="6:9" hidden="1">
      <c r="F462" s="1"/>
      <c r="G462" s="6"/>
      <c r="H462" s="55"/>
      <c r="I462" s="258"/>
    </row>
    <row r="463" spans="6:9" hidden="1">
      <c r="F463" s="1"/>
      <c r="G463" s="6"/>
      <c r="H463" s="55"/>
      <c r="I463" s="258"/>
    </row>
    <row r="464" spans="6:9" hidden="1">
      <c r="F464" s="1"/>
      <c r="G464" s="6"/>
      <c r="H464" s="55"/>
      <c r="I464" s="258"/>
    </row>
    <row r="465" spans="6:9" hidden="1">
      <c r="F465" s="1"/>
      <c r="G465" s="6"/>
      <c r="H465" s="55"/>
      <c r="I465" s="258"/>
    </row>
    <row r="466" spans="6:9" hidden="1">
      <c r="F466" s="1"/>
      <c r="G466" s="6"/>
      <c r="H466" s="55"/>
      <c r="I466" s="258"/>
    </row>
    <row r="467" spans="6:9" hidden="1">
      <c r="F467" s="1"/>
      <c r="G467" s="6"/>
      <c r="H467" s="55"/>
      <c r="I467" s="258"/>
    </row>
    <row r="468" spans="6:9" hidden="1">
      <c r="F468" s="1"/>
      <c r="G468" s="6"/>
      <c r="H468" s="55"/>
      <c r="I468" s="258"/>
    </row>
    <row r="469" spans="6:9" hidden="1">
      <c r="F469" s="1"/>
      <c r="G469" s="6"/>
      <c r="H469" s="55"/>
      <c r="I469" s="258"/>
    </row>
    <row r="470" spans="6:9" hidden="1">
      <c r="F470" s="1"/>
      <c r="G470" s="6"/>
      <c r="H470" s="55"/>
      <c r="I470" s="258"/>
    </row>
    <row r="471" spans="6:9" hidden="1">
      <c r="F471" s="1"/>
      <c r="G471" s="6"/>
      <c r="H471" s="55"/>
      <c r="I471" s="258"/>
    </row>
    <row r="472" spans="6:9" hidden="1">
      <c r="F472" s="1"/>
      <c r="G472" s="6"/>
      <c r="H472" s="55"/>
      <c r="I472" s="258"/>
    </row>
    <row r="473" spans="6:9" hidden="1">
      <c r="F473" s="1"/>
      <c r="G473" s="6"/>
      <c r="H473" s="55"/>
      <c r="I473" s="258"/>
    </row>
    <row r="474" spans="6:9" hidden="1">
      <c r="F474" s="1"/>
      <c r="G474" s="6"/>
      <c r="H474" s="55"/>
      <c r="I474" s="258"/>
    </row>
    <row r="475" spans="6:9" hidden="1">
      <c r="F475" s="1"/>
      <c r="G475" s="6"/>
      <c r="H475" s="55"/>
      <c r="I475" s="258"/>
    </row>
    <row r="476" spans="6:9" hidden="1">
      <c r="F476" s="1"/>
      <c r="G476" s="6"/>
      <c r="H476" s="55"/>
      <c r="I476" s="258"/>
    </row>
    <row r="477" spans="6:9" hidden="1">
      <c r="F477" s="1"/>
      <c r="G477" s="6"/>
      <c r="H477" s="55"/>
      <c r="I477" s="258"/>
    </row>
    <row r="478" spans="6:9" hidden="1">
      <c r="F478" s="1"/>
      <c r="G478" s="6"/>
      <c r="H478" s="55"/>
      <c r="I478" s="258"/>
    </row>
    <row r="479" spans="6:9" hidden="1">
      <c r="F479" s="1"/>
      <c r="G479" s="6"/>
      <c r="H479" s="55"/>
      <c r="I479" s="258"/>
    </row>
    <row r="480" spans="6:9" hidden="1">
      <c r="F480" s="1"/>
      <c r="G480" s="6"/>
      <c r="H480" s="55"/>
      <c r="I480" s="258"/>
    </row>
    <row r="481" spans="6:9" hidden="1">
      <c r="F481" s="1"/>
      <c r="G481" s="6"/>
      <c r="H481" s="55"/>
      <c r="I481" s="258"/>
    </row>
    <row r="482" spans="6:9" hidden="1">
      <c r="F482" s="1"/>
      <c r="G482" s="6"/>
      <c r="H482" s="55"/>
      <c r="I482" s="258"/>
    </row>
    <row r="483" spans="6:9" hidden="1">
      <c r="F483" s="1"/>
      <c r="G483" s="6"/>
      <c r="H483" s="55"/>
      <c r="I483" s="258"/>
    </row>
    <row r="484" spans="6:9" hidden="1">
      <c r="F484" s="1"/>
      <c r="G484" s="6"/>
      <c r="H484" s="55"/>
      <c r="I484" s="258"/>
    </row>
    <row r="485" spans="6:9" hidden="1">
      <c r="F485" s="1"/>
      <c r="G485" s="6"/>
      <c r="H485" s="55"/>
      <c r="I485" s="258"/>
    </row>
    <row r="486" spans="6:9" hidden="1">
      <c r="F486" s="1"/>
      <c r="G486" s="6"/>
      <c r="H486" s="55"/>
      <c r="I486" s="258"/>
    </row>
    <row r="487" spans="6:9" hidden="1">
      <c r="F487" s="1"/>
      <c r="G487" s="6"/>
      <c r="H487" s="55"/>
      <c r="I487" s="258"/>
    </row>
    <row r="488" spans="6:9" hidden="1">
      <c r="F488" s="1"/>
      <c r="G488" s="6"/>
      <c r="H488" s="55"/>
      <c r="I488" s="258"/>
    </row>
    <row r="489" spans="6:9" hidden="1">
      <c r="F489" s="1"/>
      <c r="G489" s="6"/>
      <c r="H489" s="55"/>
      <c r="I489" s="258"/>
    </row>
    <row r="490" spans="6:9" hidden="1">
      <c r="F490" s="1"/>
      <c r="G490" s="6"/>
      <c r="H490" s="55"/>
      <c r="I490" s="258"/>
    </row>
    <row r="491" spans="6:9" hidden="1">
      <c r="F491" s="1"/>
      <c r="G491" s="6"/>
      <c r="H491" s="55"/>
      <c r="I491" s="258"/>
    </row>
    <row r="492" spans="6:9" hidden="1">
      <c r="F492" s="1"/>
      <c r="G492" s="6"/>
      <c r="H492" s="55"/>
      <c r="I492" s="258"/>
    </row>
    <row r="493" spans="6:9" hidden="1">
      <c r="F493" s="1"/>
      <c r="G493" s="6"/>
      <c r="H493" s="55"/>
      <c r="I493" s="258"/>
    </row>
  </sheetData>
  <sheetProtection algorithmName="SHA-512" hashValue="hO05C0WNPMAWfU8gTY4l8a+dN7l58GGlgB9hDp4gaYKbLprfOgBKQ+KcZ9lNAK2SGtN973iBKyrZRE6rLNBUcA==" saltValue="q5rcfOE9A3iIlenRFNBkrQ==" spinCount="100000" sheet="1" objects="1" scenarios="1" autoFilter="0" pivotTables="0"/>
  <mergeCells count="2">
    <mergeCell ref="J1:L1"/>
    <mergeCell ref="B1:I1"/>
  </mergeCells>
  <conditionalFormatting sqref="G494:G1048576">
    <cfRule type="expression" dxfId="17" priority="9">
      <formula>$G494="NO"</formula>
    </cfRule>
    <cfRule type="expression" dxfId="16" priority="10">
      <formula>$G494="YES"</formula>
    </cfRule>
  </conditionalFormatting>
  <conditionalFormatting sqref="H2:H493">
    <cfRule type="expression" dxfId="15" priority="13">
      <formula>$H2="NO"</formula>
    </cfRule>
    <cfRule type="expression" dxfId="14" priority="14">
      <formula>$H2="YES"</formula>
    </cfRule>
  </conditionalFormatting>
  <conditionalFormatting sqref="J3:J78">
    <cfRule type="expression" dxfId="13" priority="1">
      <formula>$J3="N/A"</formula>
    </cfRule>
    <cfRule type="expression" dxfId="12" priority="2">
      <formula>$J3&lt;TODAY()</formula>
    </cfRule>
  </conditionalFormatting>
  <hyperlinks>
    <hyperlink ref="F81" r:id="rId1" xr:uid="{49B8455A-9D9C-4805-BB64-D2CAA9D7840A}"/>
  </hyperlinks>
  <pageMargins left="0.7" right="0.7" top="0.75" bottom="0.75" header="0.3" footer="0.3"/>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E8CF-C6D8-47E1-BEDB-C193EF4E4010}">
  <sheetPr>
    <tabColor rgb="FF92D050"/>
    <pageSetUpPr fitToPage="1"/>
  </sheetPr>
  <dimension ref="A1:S141"/>
  <sheetViews>
    <sheetView tabSelected="1" zoomScale="85" zoomScaleNormal="85" workbookViewId="0">
      <pane ySplit="4" topLeftCell="A37" activePane="bottomLeft" state="frozen"/>
      <selection pane="bottomLeft" activeCell="C49" activeCellId="1" sqref="C50 C49"/>
    </sheetView>
  </sheetViews>
  <sheetFormatPr defaultColWidth="25.85546875" defaultRowHeight="16.5"/>
  <cols>
    <col min="1" max="1" width="39.28515625" style="170" bestFit="1" customWidth="1"/>
    <col min="2" max="2" width="55.7109375" style="174" bestFit="1" customWidth="1"/>
    <col min="3" max="3" width="22.140625" style="1" bestFit="1" customWidth="1"/>
    <col min="4" max="4" width="22.5703125" style="248" bestFit="1" customWidth="1"/>
    <col min="5" max="5" width="26.42578125" style="174" bestFit="1" customWidth="1"/>
    <col min="6" max="6" width="20.85546875" style="174" customWidth="1"/>
    <col min="7" max="7" width="54.5703125" style="249" customWidth="1"/>
    <col min="8" max="8" width="33.5703125" style="174" bestFit="1" customWidth="1"/>
    <col min="9" max="9" width="27.42578125" style="174" bestFit="1" customWidth="1"/>
    <col min="10" max="10" width="31.42578125" style="170" hidden="1" customWidth="1"/>
    <col min="11" max="11" width="5.28515625" style="170" customWidth="1"/>
    <col min="12" max="12" width="5.42578125" style="170" customWidth="1"/>
    <col min="13" max="13" width="6" style="170" customWidth="1"/>
    <col min="14" max="14" width="5.85546875" style="170" customWidth="1"/>
    <col min="15" max="15" width="5.28515625" style="170" customWidth="1"/>
    <col min="16" max="16" width="24" style="170" hidden="1" customWidth="1"/>
    <col min="17" max="17" width="77.140625" style="174" customWidth="1"/>
    <col min="18" max="18" width="9.140625" style="174"/>
    <col min="19" max="19" width="1.85546875" style="174" bestFit="1" customWidth="1"/>
    <col min="20" max="20" width="2.7109375" style="174" bestFit="1" customWidth="1"/>
    <col min="21" max="16384" width="25.85546875" style="174"/>
  </cols>
  <sheetData>
    <row r="1" spans="1:17" s="173" customFormat="1" ht="66" customHeight="1">
      <c r="A1" s="170"/>
      <c r="B1" s="171" t="s">
        <v>700</v>
      </c>
      <c r="C1" s="172"/>
      <c r="D1" s="172"/>
      <c r="E1" s="171"/>
      <c r="F1" s="171"/>
      <c r="G1" s="171"/>
      <c r="H1" s="171"/>
      <c r="I1" s="171"/>
      <c r="J1" s="170"/>
      <c r="K1" s="170"/>
      <c r="L1" s="170"/>
      <c r="M1" s="170"/>
      <c r="N1" s="170"/>
      <c r="O1" s="170"/>
      <c r="P1" s="170"/>
      <c r="Q1" s="171"/>
    </row>
    <row r="2" spans="1:17" ht="15.75">
      <c r="D2" s="1"/>
      <c r="G2" s="175"/>
    </row>
    <row r="3" spans="1:17" s="175" customFormat="1" ht="45" customHeight="1">
      <c r="A3" s="449" t="s">
        <v>701</v>
      </c>
      <c r="B3" s="449" t="s">
        <v>702</v>
      </c>
      <c r="C3" s="449" t="s">
        <v>703</v>
      </c>
      <c r="D3" s="451" t="s">
        <v>704</v>
      </c>
      <c r="E3" s="449" t="s">
        <v>705</v>
      </c>
      <c r="F3" s="449" t="s">
        <v>706</v>
      </c>
      <c r="G3" s="449" t="s">
        <v>707</v>
      </c>
      <c r="H3" s="449" t="s">
        <v>708</v>
      </c>
      <c r="I3" s="449" t="s">
        <v>709</v>
      </c>
      <c r="J3" s="451" t="s">
        <v>710</v>
      </c>
      <c r="K3" s="453" t="s">
        <v>711</v>
      </c>
      <c r="L3" s="454"/>
      <c r="M3" s="454"/>
      <c r="N3" s="454"/>
      <c r="O3" s="455"/>
      <c r="P3" s="179" t="s">
        <v>712</v>
      </c>
      <c r="Q3" s="449" t="s">
        <v>713</v>
      </c>
    </row>
    <row r="4" spans="1:17" s="175" customFormat="1" ht="22.5" customHeight="1">
      <c r="A4" s="450"/>
      <c r="B4" s="450"/>
      <c r="C4" s="450"/>
      <c r="D4" s="452"/>
      <c r="E4" s="450"/>
      <c r="F4" s="450"/>
      <c r="G4" s="450"/>
      <c r="H4" s="450"/>
      <c r="I4" s="450"/>
      <c r="J4" s="452"/>
      <c r="K4" s="176" t="s">
        <v>714</v>
      </c>
      <c r="L4" s="177" t="s">
        <v>715</v>
      </c>
      <c r="M4" s="177" t="s">
        <v>716</v>
      </c>
      <c r="N4" s="177" t="s">
        <v>717</v>
      </c>
      <c r="O4" s="178" t="s">
        <v>718</v>
      </c>
      <c r="P4" s="179"/>
      <c r="Q4" s="450"/>
    </row>
    <row r="5" spans="1:17" s="187" customFormat="1" ht="32.25" customHeight="1">
      <c r="A5" s="180" t="s">
        <v>719</v>
      </c>
      <c r="B5" s="180" t="s">
        <v>720</v>
      </c>
      <c r="C5" s="181" t="s">
        <v>721</v>
      </c>
      <c r="D5" s="181" t="s">
        <v>721</v>
      </c>
      <c r="E5" s="182" t="s">
        <v>722</v>
      </c>
      <c r="F5" s="180" t="s">
        <v>723</v>
      </c>
      <c r="G5" s="183" t="s">
        <v>724</v>
      </c>
      <c r="H5" s="180"/>
      <c r="I5" s="182" t="s">
        <v>725</v>
      </c>
      <c r="J5" s="184">
        <v>13</v>
      </c>
      <c r="K5" s="185"/>
      <c r="L5" s="185"/>
      <c r="M5" s="186"/>
      <c r="N5" s="185"/>
      <c r="O5" s="186"/>
      <c r="P5" s="186"/>
      <c r="Q5" s="180"/>
    </row>
    <row r="6" spans="1:17" s="188" customFormat="1" ht="24.75" customHeight="1">
      <c r="A6" s="182" t="s">
        <v>726</v>
      </c>
      <c r="B6" s="182" t="s">
        <v>720</v>
      </c>
      <c r="C6" s="181" t="s">
        <v>721</v>
      </c>
      <c r="D6" s="181" t="s">
        <v>721</v>
      </c>
      <c r="E6" s="182" t="s">
        <v>722</v>
      </c>
      <c r="F6" s="182" t="s">
        <v>723</v>
      </c>
      <c r="G6" s="183" t="s">
        <v>727</v>
      </c>
      <c r="H6" s="182"/>
      <c r="I6" s="182" t="s">
        <v>725</v>
      </c>
      <c r="J6" s="184" t="s">
        <v>723</v>
      </c>
      <c r="K6" s="186"/>
      <c r="L6" s="186"/>
      <c r="M6" s="186"/>
      <c r="N6" s="186"/>
      <c r="O6" s="186"/>
      <c r="P6" s="186"/>
      <c r="Q6" s="182" t="s">
        <v>728</v>
      </c>
    </row>
    <row r="7" spans="1:17" s="188" customFormat="1" ht="24.75" customHeight="1">
      <c r="A7" s="182" t="s">
        <v>23</v>
      </c>
      <c r="B7" s="182" t="s">
        <v>720</v>
      </c>
      <c r="C7" s="181" t="s">
        <v>721</v>
      </c>
      <c r="D7" s="181" t="s">
        <v>721</v>
      </c>
      <c r="E7" s="182" t="s">
        <v>722</v>
      </c>
      <c r="F7" s="189">
        <v>0.15</v>
      </c>
      <c r="G7" s="183" t="s">
        <v>729</v>
      </c>
      <c r="H7" s="182"/>
      <c r="I7" s="182" t="s">
        <v>725</v>
      </c>
      <c r="J7" s="190" t="s">
        <v>723</v>
      </c>
      <c r="K7" s="186"/>
      <c r="L7" s="186"/>
      <c r="M7" s="186"/>
      <c r="N7" s="186"/>
      <c r="O7" s="186"/>
      <c r="P7" s="186"/>
      <c r="Q7" s="182" t="s">
        <v>730</v>
      </c>
    </row>
    <row r="8" spans="1:17" s="188" customFormat="1" ht="30" customHeight="1">
      <c r="A8" s="182" t="s">
        <v>731</v>
      </c>
      <c r="B8" s="182" t="s">
        <v>732</v>
      </c>
      <c r="C8" s="181"/>
      <c r="D8" s="181" t="s">
        <v>721</v>
      </c>
      <c r="E8" s="182" t="s">
        <v>733</v>
      </c>
      <c r="F8" s="189"/>
      <c r="G8" s="183" t="s">
        <v>734</v>
      </c>
      <c r="H8" s="182"/>
      <c r="I8" s="182" t="s">
        <v>725</v>
      </c>
      <c r="J8" s="190" t="s">
        <v>723</v>
      </c>
      <c r="K8" s="186"/>
      <c r="L8" s="186"/>
      <c r="M8" s="186"/>
      <c r="N8" s="186"/>
      <c r="O8" s="186"/>
      <c r="P8" s="186"/>
      <c r="Q8" s="182" t="s">
        <v>735</v>
      </c>
    </row>
    <row r="9" spans="1:17" s="188" customFormat="1" ht="30" customHeight="1">
      <c r="A9" s="182" t="s">
        <v>19</v>
      </c>
      <c r="B9" s="182" t="s">
        <v>736</v>
      </c>
      <c r="C9" s="181" t="s">
        <v>721</v>
      </c>
      <c r="D9" s="191" t="s">
        <v>737</v>
      </c>
      <c r="E9" s="182" t="s">
        <v>722</v>
      </c>
      <c r="F9" s="189">
        <v>0.18</v>
      </c>
      <c r="G9" s="192" t="s">
        <v>738</v>
      </c>
      <c r="H9" s="182"/>
      <c r="I9" s="182" t="s">
        <v>725</v>
      </c>
      <c r="J9" s="184" t="s">
        <v>723</v>
      </c>
      <c r="K9" s="186"/>
      <c r="L9" s="186"/>
      <c r="M9" s="186"/>
      <c r="N9" s="186"/>
      <c r="O9" s="186"/>
      <c r="P9" s="186"/>
      <c r="Q9" s="193" t="s">
        <v>739</v>
      </c>
    </row>
    <row r="10" spans="1:17" s="188" customFormat="1" ht="30" customHeight="1">
      <c r="A10" s="182" t="s">
        <v>740</v>
      </c>
      <c r="B10" s="182" t="s">
        <v>720</v>
      </c>
      <c r="C10" s="181"/>
      <c r="D10" s="191"/>
      <c r="E10" s="194">
        <v>1000</v>
      </c>
      <c r="F10" s="189"/>
      <c r="G10" s="195" t="s">
        <v>741</v>
      </c>
      <c r="H10" s="182"/>
      <c r="I10" s="182" t="s">
        <v>725</v>
      </c>
      <c r="J10" s="184"/>
      <c r="K10" s="186"/>
      <c r="L10" s="186"/>
      <c r="M10" s="186"/>
      <c r="N10" s="186"/>
      <c r="O10" s="186"/>
      <c r="P10" s="186"/>
      <c r="Q10" s="182"/>
    </row>
    <row r="11" spans="1:17" s="188" customFormat="1" ht="24.75" customHeight="1">
      <c r="A11" s="182" t="s">
        <v>742</v>
      </c>
      <c r="B11" s="182" t="s">
        <v>720</v>
      </c>
      <c r="C11" s="191" t="s">
        <v>737</v>
      </c>
      <c r="D11" s="181" t="s">
        <v>721</v>
      </c>
      <c r="E11" s="182" t="s">
        <v>722</v>
      </c>
      <c r="F11" s="189">
        <v>0.2</v>
      </c>
      <c r="G11" s="182" t="s">
        <v>743</v>
      </c>
      <c r="H11" s="182"/>
      <c r="I11" s="182" t="s">
        <v>725</v>
      </c>
      <c r="J11" s="184">
        <v>11</v>
      </c>
      <c r="K11" s="185"/>
      <c r="L11" s="185"/>
      <c r="M11" s="185"/>
      <c r="N11" s="185"/>
      <c r="O11" s="185"/>
      <c r="P11" s="186"/>
      <c r="Q11" s="182" t="s">
        <v>744</v>
      </c>
    </row>
    <row r="12" spans="1:17" s="188" customFormat="1" ht="24.75" customHeight="1">
      <c r="A12" s="182" t="s">
        <v>31</v>
      </c>
      <c r="B12" s="182" t="s">
        <v>720</v>
      </c>
      <c r="C12" s="181" t="s">
        <v>721</v>
      </c>
      <c r="D12" s="181" t="s">
        <v>721</v>
      </c>
      <c r="E12" s="182" t="s">
        <v>722</v>
      </c>
      <c r="F12" s="189">
        <v>0.15</v>
      </c>
      <c r="G12" s="182" t="s">
        <v>745</v>
      </c>
      <c r="H12" s="182"/>
      <c r="I12" s="182" t="s">
        <v>725</v>
      </c>
      <c r="J12" s="190" t="s">
        <v>723</v>
      </c>
      <c r="K12" s="186"/>
      <c r="L12" s="186"/>
      <c r="M12" s="186"/>
      <c r="N12" s="186"/>
      <c r="O12" s="186"/>
      <c r="P12" s="186"/>
      <c r="Q12" s="182"/>
    </row>
    <row r="13" spans="1:17" s="188" customFormat="1" ht="24.75" customHeight="1">
      <c r="A13" s="182" t="s">
        <v>35</v>
      </c>
      <c r="B13" s="182" t="s">
        <v>720</v>
      </c>
      <c r="C13" s="181" t="s">
        <v>721</v>
      </c>
      <c r="D13" s="181" t="s">
        <v>721</v>
      </c>
      <c r="E13" s="182" t="s">
        <v>722</v>
      </c>
      <c r="F13" s="189">
        <v>0.1</v>
      </c>
      <c r="G13" s="182"/>
      <c r="H13" s="182"/>
      <c r="I13" s="182" t="s">
        <v>725</v>
      </c>
      <c r="J13" s="190" t="s">
        <v>723</v>
      </c>
      <c r="K13" s="186"/>
      <c r="L13" s="186"/>
      <c r="M13" s="186"/>
      <c r="N13" s="186"/>
      <c r="O13" s="186"/>
      <c r="P13" s="186"/>
      <c r="Q13" s="182"/>
    </row>
    <row r="14" spans="1:17" s="188" customFormat="1" ht="24.75" customHeight="1">
      <c r="A14" s="182" t="s">
        <v>39</v>
      </c>
      <c r="B14" s="182" t="s">
        <v>720</v>
      </c>
      <c r="C14" s="181" t="s">
        <v>721</v>
      </c>
      <c r="D14" s="181" t="s">
        <v>721</v>
      </c>
      <c r="E14" s="194">
        <v>250</v>
      </c>
      <c r="F14" s="189">
        <v>0.15</v>
      </c>
      <c r="G14" s="183" t="s">
        <v>746</v>
      </c>
      <c r="H14" s="182"/>
      <c r="I14" s="182" t="s">
        <v>747</v>
      </c>
      <c r="J14" s="190" t="s">
        <v>723</v>
      </c>
      <c r="K14" s="186"/>
      <c r="L14" s="186"/>
      <c r="M14" s="186"/>
      <c r="N14" s="186"/>
      <c r="O14" s="186"/>
      <c r="P14" s="186"/>
      <c r="Q14" s="182"/>
    </row>
    <row r="15" spans="1:17" s="188" customFormat="1" ht="24.75" customHeight="1">
      <c r="A15" s="184" t="s">
        <v>748</v>
      </c>
      <c r="B15" s="182" t="s">
        <v>720</v>
      </c>
      <c r="C15" s="191" t="s">
        <v>737</v>
      </c>
      <c r="D15" s="181" t="s">
        <v>721</v>
      </c>
      <c r="E15" s="182" t="s">
        <v>722</v>
      </c>
      <c r="F15" s="189">
        <v>0.15</v>
      </c>
      <c r="G15" s="182"/>
      <c r="H15" s="182"/>
      <c r="I15" s="182" t="s">
        <v>725</v>
      </c>
      <c r="J15" s="184">
        <v>25</v>
      </c>
      <c r="K15" s="185"/>
      <c r="L15" s="185"/>
      <c r="M15" s="186"/>
      <c r="N15" s="186"/>
      <c r="O15" s="186"/>
      <c r="P15" s="186"/>
      <c r="Q15" s="182" t="s">
        <v>749</v>
      </c>
    </row>
    <row r="16" spans="1:17" s="188" customFormat="1" ht="24.75" customHeight="1">
      <c r="A16" s="182" t="s">
        <v>750</v>
      </c>
      <c r="B16" s="182" t="s">
        <v>720</v>
      </c>
      <c r="C16" s="181" t="s">
        <v>721</v>
      </c>
      <c r="D16" s="181" t="s">
        <v>721</v>
      </c>
      <c r="E16" s="182" t="s">
        <v>722</v>
      </c>
      <c r="F16" s="189">
        <v>0.1</v>
      </c>
      <c r="G16" s="196"/>
      <c r="H16" s="182"/>
      <c r="I16" s="182" t="s">
        <v>725</v>
      </c>
      <c r="J16" s="190" t="s">
        <v>723</v>
      </c>
      <c r="K16" s="186"/>
      <c r="L16" s="186"/>
      <c r="M16" s="186"/>
      <c r="N16" s="186"/>
      <c r="O16" s="186"/>
      <c r="P16" s="186"/>
      <c r="Q16" s="182"/>
    </row>
    <row r="17" spans="1:17" s="188" customFormat="1" ht="24.75" customHeight="1">
      <c r="A17" s="182" t="s">
        <v>57</v>
      </c>
      <c r="B17" s="182" t="s">
        <v>751</v>
      </c>
      <c r="C17" s="181" t="s">
        <v>721</v>
      </c>
      <c r="D17" s="181" t="s">
        <v>721</v>
      </c>
      <c r="E17" s="194">
        <v>250</v>
      </c>
      <c r="F17" s="189" t="s">
        <v>752</v>
      </c>
      <c r="G17" s="183" t="s">
        <v>753</v>
      </c>
      <c r="H17" s="182"/>
      <c r="I17" s="182" t="s">
        <v>725</v>
      </c>
      <c r="J17" s="184">
        <v>11</v>
      </c>
      <c r="K17" s="186"/>
      <c r="L17" s="186"/>
      <c r="M17" s="186"/>
      <c r="N17" s="186"/>
      <c r="O17" s="186"/>
      <c r="P17" s="186"/>
      <c r="Q17" s="182"/>
    </row>
    <row r="18" spans="1:17" s="188" customFormat="1" ht="24.75" customHeight="1">
      <c r="A18" s="182" t="s">
        <v>754</v>
      </c>
      <c r="B18" s="182" t="s">
        <v>720</v>
      </c>
      <c r="C18" s="181" t="s">
        <v>721</v>
      </c>
      <c r="D18" s="181" t="s">
        <v>721</v>
      </c>
      <c r="E18" s="182" t="s">
        <v>722</v>
      </c>
      <c r="F18" s="189">
        <v>0.13</v>
      </c>
      <c r="G18" s="183" t="s">
        <v>755</v>
      </c>
      <c r="H18" s="182"/>
      <c r="I18" s="182" t="s">
        <v>725</v>
      </c>
      <c r="J18" s="190" t="s">
        <v>723</v>
      </c>
      <c r="K18" s="186"/>
      <c r="L18" s="186"/>
      <c r="M18" s="186"/>
      <c r="N18" s="186"/>
      <c r="O18" s="186"/>
      <c r="P18" s="186"/>
      <c r="Q18" s="182"/>
    </row>
    <row r="19" spans="1:17" s="188" customFormat="1" ht="24.75" customHeight="1">
      <c r="A19" s="182" t="s">
        <v>756</v>
      </c>
      <c r="B19" s="182" t="s">
        <v>720</v>
      </c>
      <c r="C19" s="181" t="s">
        <v>721</v>
      </c>
      <c r="D19" s="181" t="s">
        <v>721</v>
      </c>
      <c r="E19" s="182" t="s">
        <v>722</v>
      </c>
      <c r="F19" s="189">
        <v>0.2</v>
      </c>
      <c r="G19" s="197" t="s">
        <v>757</v>
      </c>
      <c r="H19" s="182"/>
      <c r="I19" s="182" t="s">
        <v>725</v>
      </c>
      <c r="J19" s="190"/>
      <c r="K19" s="186"/>
      <c r="L19" s="186"/>
      <c r="M19" s="186"/>
      <c r="N19" s="186"/>
      <c r="O19" s="186"/>
      <c r="P19" s="186"/>
      <c r="Q19" s="182"/>
    </row>
    <row r="20" spans="1:17" s="188" customFormat="1" ht="24.75" customHeight="1">
      <c r="A20" s="184" t="s">
        <v>758</v>
      </c>
      <c r="B20" s="182" t="s">
        <v>720</v>
      </c>
      <c r="C20" s="181" t="s">
        <v>721</v>
      </c>
      <c r="D20" s="181" t="s">
        <v>721</v>
      </c>
      <c r="E20" s="194">
        <v>85</v>
      </c>
      <c r="F20" s="189">
        <v>0.1</v>
      </c>
      <c r="G20" s="183" t="s">
        <v>759</v>
      </c>
      <c r="H20" s="182"/>
      <c r="I20" s="182" t="s">
        <v>725</v>
      </c>
      <c r="J20" s="184" t="s">
        <v>723</v>
      </c>
      <c r="K20" s="185"/>
      <c r="L20" s="185"/>
      <c r="M20" s="185"/>
      <c r="N20" s="185"/>
      <c r="O20" s="185"/>
      <c r="P20" s="186"/>
      <c r="Q20" s="182"/>
    </row>
    <row r="21" spans="1:17" s="188" customFormat="1" ht="24.75" customHeight="1">
      <c r="A21" s="182" t="s">
        <v>64</v>
      </c>
      <c r="B21" s="182" t="s">
        <v>723</v>
      </c>
      <c r="C21" s="181" t="s">
        <v>721</v>
      </c>
      <c r="D21" s="181" t="s">
        <v>721</v>
      </c>
      <c r="E21" s="182" t="s">
        <v>722</v>
      </c>
      <c r="F21" s="189" t="s">
        <v>723</v>
      </c>
      <c r="G21" s="196"/>
      <c r="H21" s="182"/>
      <c r="I21" s="182" t="s">
        <v>760</v>
      </c>
      <c r="J21" s="190" t="s">
        <v>723</v>
      </c>
      <c r="K21" s="186"/>
      <c r="L21" s="186"/>
      <c r="M21" s="186"/>
      <c r="N21" s="186"/>
      <c r="O21" s="186"/>
      <c r="P21" s="186"/>
      <c r="Q21" s="182"/>
    </row>
    <row r="22" spans="1:17" s="188" customFormat="1" ht="33" customHeight="1">
      <c r="A22" s="183" t="s">
        <v>761</v>
      </c>
      <c r="B22" s="182" t="s">
        <v>723</v>
      </c>
      <c r="C22" s="181" t="s">
        <v>721</v>
      </c>
      <c r="D22" s="181" t="s">
        <v>721</v>
      </c>
      <c r="E22" s="182"/>
      <c r="F22" s="189" t="s">
        <v>723</v>
      </c>
      <c r="G22" s="198" t="s">
        <v>762</v>
      </c>
      <c r="H22" s="182"/>
      <c r="I22" s="182" t="s">
        <v>725</v>
      </c>
      <c r="J22" s="184" t="s">
        <v>723</v>
      </c>
      <c r="K22" s="459" t="s">
        <v>763</v>
      </c>
      <c r="L22" s="460"/>
      <c r="M22" s="460"/>
      <c r="N22" s="460"/>
      <c r="O22" s="461"/>
      <c r="P22" s="186"/>
      <c r="Q22" s="182" t="s">
        <v>764</v>
      </c>
    </row>
    <row r="23" spans="1:17" s="188" customFormat="1" ht="47.25" customHeight="1">
      <c r="A23" s="183" t="s">
        <v>765</v>
      </c>
      <c r="B23" s="182"/>
      <c r="C23" s="191" t="s">
        <v>737</v>
      </c>
      <c r="D23" s="181"/>
      <c r="E23" s="182"/>
      <c r="F23" s="200">
        <v>0</v>
      </c>
      <c r="G23" s="201" t="s">
        <v>766</v>
      </c>
      <c r="H23" s="202"/>
      <c r="I23" s="182" t="s">
        <v>767</v>
      </c>
      <c r="J23" s="184"/>
      <c r="K23" s="462" t="s">
        <v>768</v>
      </c>
      <c r="L23" s="463"/>
      <c r="M23" s="463"/>
      <c r="N23" s="463"/>
      <c r="O23" s="464"/>
      <c r="P23" s="186"/>
      <c r="Q23" s="182" t="s">
        <v>769</v>
      </c>
    </row>
    <row r="24" spans="1:17" s="188" customFormat="1" ht="47.25" customHeight="1">
      <c r="A24" s="183" t="s">
        <v>770</v>
      </c>
      <c r="B24" s="182"/>
      <c r="C24" s="191" t="s">
        <v>737</v>
      </c>
      <c r="D24" s="181"/>
      <c r="E24" s="182"/>
      <c r="F24" s="189">
        <v>0</v>
      </c>
      <c r="G24" s="195" t="s">
        <v>771</v>
      </c>
      <c r="H24" s="182"/>
      <c r="I24" s="182" t="s">
        <v>767</v>
      </c>
      <c r="J24" s="203"/>
      <c r="K24" s="204"/>
      <c r="L24" s="204"/>
      <c r="M24" s="204"/>
      <c r="N24" s="204"/>
      <c r="O24" s="205"/>
      <c r="P24" s="199"/>
      <c r="Q24" s="182"/>
    </row>
    <row r="25" spans="1:17" s="188" customFormat="1" ht="33" customHeight="1">
      <c r="A25" s="183" t="s">
        <v>772</v>
      </c>
      <c r="B25" s="182" t="s">
        <v>723</v>
      </c>
      <c r="C25" s="181"/>
      <c r="D25" s="181"/>
      <c r="E25" s="182"/>
      <c r="F25" s="189">
        <v>0</v>
      </c>
      <c r="G25" s="197"/>
      <c r="H25" s="182"/>
      <c r="I25" s="182" t="s">
        <v>725</v>
      </c>
      <c r="J25" s="184"/>
      <c r="K25" s="206"/>
      <c r="L25" s="206"/>
      <c r="M25" s="206"/>
      <c r="N25" s="206"/>
      <c r="O25" s="206"/>
      <c r="P25" s="186"/>
      <c r="Q25" s="182"/>
    </row>
    <row r="26" spans="1:17" s="188" customFormat="1" ht="24.75" customHeight="1">
      <c r="A26" s="182" t="s">
        <v>72</v>
      </c>
      <c r="B26" s="182" t="s">
        <v>723</v>
      </c>
      <c r="C26" s="181" t="s">
        <v>721</v>
      </c>
      <c r="D26" s="181" t="s">
        <v>721</v>
      </c>
      <c r="E26" s="182" t="s">
        <v>722</v>
      </c>
      <c r="F26" s="189" t="s">
        <v>723</v>
      </c>
      <c r="G26" s="183" t="s">
        <v>773</v>
      </c>
      <c r="H26" s="182"/>
      <c r="I26" s="182" t="s">
        <v>725</v>
      </c>
      <c r="J26" s="184" t="s">
        <v>723</v>
      </c>
      <c r="K26" s="186"/>
      <c r="L26" s="186"/>
      <c r="M26" s="186"/>
      <c r="N26" s="186"/>
      <c r="O26" s="186"/>
      <c r="P26" s="186"/>
      <c r="Q26" s="182"/>
    </row>
    <row r="27" spans="1:17" s="188" customFormat="1" ht="24.75" customHeight="1">
      <c r="A27" s="182" t="s">
        <v>774</v>
      </c>
      <c r="B27" s="182" t="s">
        <v>775</v>
      </c>
      <c r="C27" s="191" t="s">
        <v>737</v>
      </c>
      <c r="D27" s="181" t="s">
        <v>721</v>
      </c>
      <c r="E27" s="182" t="s">
        <v>722</v>
      </c>
      <c r="F27" s="189" t="s">
        <v>723</v>
      </c>
      <c r="G27" s="183" t="s">
        <v>776</v>
      </c>
      <c r="H27" s="182"/>
      <c r="I27" s="182" t="s">
        <v>725</v>
      </c>
      <c r="J27" s="190" t="s">
        <v>723</v>
      </c>
      <c r="K27" s="186"/>
      <c r="L27" s="186"/>
      <c r="M27" s="186"/>
      <c r="N27" s="186"/>
      <c r="O27" s="186"/>
      <c r="P27" s="186"/>
      <c r="Q27" s="182" t="s">
        <v>777</v>
      </c>
    </row>
    <row r="28" spans="1:17" s="188" customFormat="1" ht="24.75" customHeight="1">
      <c r="A28" s="182" t="s">
        <v>76</v>
      </c>
      <c r="B28" s="182" t="s">
        <v>720</v>
      </c>
      <c r="C28" s="181" t="s">
        <v>721</v>
      </c>
      <c r="D28" s="181" t="s">
        <v>721</v>
      </c>
      <c r="E28" s="182" t="s">
        <v>722</v>
      </c>
      <c r="F28" s="189">
        <v>0.1</v>
      </c>
      <c r="G28" s="196"/>
      <c r="H28" s="182"/>
      <c r="I28" s="182" t="s">
        <v>725</v>
      </c>
      <c r="J28" s="190" t="s">
        <v>723</v>
      </c>
      <c r="K28" s="186"/>
      <c r="L28" s="186"/>
      <c r="M28" s="186"/>
      <c r="N28" s="186"/>
      <c r="O28" s="186"/>
      <c r="P28" s="186"/>
      <c r="Q28" s="182"/>
    </row>
    <row r="29" spans="1:17" s="188" customFormat="1" ht="24.75" customHeight="1">
      <c r="A29" s="182" t="s">
        <v>82</v>
      </c>
      <c r="B29" s="182" t="s">
        <v>723</v>
      </c>
      <c r="C29" s="181" t="s">
        <v>721</v>
      </c>
      <c r="D29" s="181" t="s">
        <v>721</v>
      </c>
      <c r="E29" s="182" t="s">
        <v>722</v>
      </c>
      <c r="F29" s="189">
        <v>0.2</v>
      </c>
      <c r="G29" s="196"/>
      <c r="H29" s="182"/>
      <c r="I29" s="182" t="s">
        <v>725</v>
      </c>
      <c r="J29" s="190" t="s">
        <v>723</v>
      </c>
      <c r="K29" s="186"/>
      <c r="L29" s="186"/>
      <c r="M29" s="186"/>
      <c r="N29" s="186"/>
      <c r="O29" s="186"/>
      <c r="P29" s="186"/>
      <c r="Q29" s="182"/>
    </row>
    <row r="30" spans="1:17" s="188" customFormat="1" ht="24.75" customHeight="1">
      <c r="A30" s="182" t="s">
        <v>778</v>
      </c>
      <c r="B30" s="182" t="s">
        <v>779</v>
      </c>
      <c r="C30" s="181" t="s">
        <v>721</v>
      </c>
      <c r="D30" s="181"/>
      <c r="E30" s="182"/>
      <c r="F30" s="189">
        <v>0</v>
      </c>
      <c r="G30" s="196"/>
      <c r="H30" s="182"/>
      <c r="I30" s="182" t="s">
        <v>725</v>
      </c>
      <c r="J30" s="190"/>
      <c r="K30" s="186"/>
      <c r="L30" s="186"/>
      <c r="M30" s="186"/>
      <c r="N30" s="186"/>
      <c r="O30" s="186"/>
      <c r="P30" s="186"/>
      <c r="Q30" s="182"/>
    </row>
    <row r="31" spans="1:17" s="188" customFormat="1" ht="24.75" customHeight="1">
      <c r="A31" s="183" t="s">
        <v>780</v>
      </c>
      <c r="B31" s="182" t="s">
        <v>720</v>
      </c>
      <c r="C31" s="181" t="s">
        <v>721</v>
      </c>
      <c r="D31" s="181" t="s">
        <v>721</v>
      </c>
      <c r="E31" s="194">
        <v>250</v>
      </c>
      <c r="F31" s="189" t="s">
        <v>781</v>
      </c>
      <c r="G31" s="182" t="s">
        <v>745</v>
      </c>
      <c r="H31" s="182"/>
      <c r="I31" s="182" t="s">
        <v>725</v>
      </c>
      <c r="J31" s="184">
        <v>21</v>
      </c>
      <c r="K31" s="186"/>
      <c r="L31" s="186"/>
      <c r="M31" s="185"/>
      <c r="N31" s="186"/>
      <c r="O31" s="185"/>
      <c r="P31" s="186"/>
      <c r="Q31" s="182"/>
    </row>
    <row r="32" spans="1:17" s="188" customFormat="1" ht="24.75" customHeight="1">
      <c r="A32" s="186" t="s">
        <v>782</v>
      </c>
      <c r="B32" s="182" t="s">
        <v>720</v>
      </c>
      <c r="C32" s="191" t="s">
        <v>737</v>
      </c>
      <c r="D32" s="181"/>
      <c r="E32" s="194">
        <v>1500</v>
      </c>
      <c r="F32" s="189">
        <v>0</v>
      </c>
      <c r="G32" s="195" t="s">
        <v>783</v>
      </c>
      <c r="H32" s="182"/>
      <c r="I32" s="182" t="s">
        <v>725</v>
      </c>
      <c r="J32" s="184"/>
      <c r="K32" s="186"/>
      <c r="L32" s="186"/>
      <c r="M32" s="186"/>
      <c r="N32" s="186"/>
      <c r="O32" s="186"/>
      <c r="P32" s="186"/>
      <c r="Q32" s="207" t="s">
        <v>784</v>
      </c>
    </row>
    <row r="33" spans="1:17" s="188" customFormat="1" ht="24.75" customHeight="1">
      <c r="A33" s="183" t="s">
        <v>785</v>
      </c>
      <c r="B33" s="182"/>
      <c r="C33" s="181"/>
      <c r="D33" s="181"/>
      <c r="E33" s="194"/>
      <c r="F33" s="189"/>
      <c r="G33" s="182"/>
      <c r="H33" s="182"/>
      <c r="I33" s="182" t="s">
        <v>725</v>
      </c>
      <c r="J33" s="184"/>
      <c r="K33" s="186"/>
      <c r="L33" s="186"/>
      <c r="M33" s="186"/>
      <c r="N33" s="186"/>
      <c r="O33" s="186"/>
      <c r="P33" s="186"/>
      <c r="Q33" s="182"/>
    </row>
    <row r="34" spans="1:17" s="188" customFormat="1" ht="24.75" customHeight="1">
      <c r="A34" s="182" t="s">
        <v>786</v>
      </c>
      <c r="B34" s="182" t="s">
        <v>736</v>
      </c>
      <c r="C34" s="181"/>
      <c r="D34" s="191" t="s">
        <v>737</v>
      </c>
      <c r="E34" s="194"/>
      <c r="F34" s="189"/>
      <c r="G34" s="182"/>
      <c r="H34" s="182"/>
      <c r="I34" s="182" t="s">
        <v>725</v>
      </c>
      <c r="J34" s="190" t="s">
        <v>723</v>
      </c>
      <c r="K34" s="186"/>
      <c r="L34" s="186"/>
      <c r="M34" s="186"/>
      <c r="N34" s="186"/>
      <c r="O34" s="186"/>
      <c r="P34" s="186"/>
      <c r="Q34" s="182"/>
    </row>
    <row r="35" spans="1:17" s="188" customFormat="1" ht="24.75" customHeight="1">
      <c r="A35" s="182" t="s">
        <v>787</v>
      </c>
      <c r="B35" s="182"/>
      <c r="C35" s="181"/>
      <c r="D35" s="208"/>
      <c r="E35" s="194"/>
      <c r="F35" s="189">
        <v>0</v>
      </c>
      <c r="G35" s="182"/>
      <c r="H35" s="182"/>
      <c r="I35" s="182" t="s">
        <v>725</v>
      </c>
      <c r="J35" s="209"/>
      <c r="K35" s="186"/>
      <c r="L35" s="186"/>
      <c r="M35" s="186"/>
      <c r="N35" s="186"/>
      <c r="O35" s="186"/>
      <c r="P35" s="186"/>
      <c r="Q35" s="182"/>
    </row>
    <row r="36" spans="1:17" s="211" customFormat="1" ht="24.75" customHeight="1">
      <c r="A36" s="196" t="s">
        <v>95</v>
      </c>
      <c r="B36" s="182" t="s">
        <v>720</v>
      </c>
      <c r="C36" s="191" t="s">
        <v>737</v>
      </c>
      <c r="D36" s="181" t="s">
        <v>721</v>
      </c>
      <c r="E36" s="182" t="s">
        <v>788</v>
      </c>
      <c r="F36" s="189">
        <v>0.12</v>
      </c>
      <c r="G36" s="182"/>
      <c r="H36" s="182"/>
      <c r="I36" s="182" t="s">
        <v>760</v>
      </c>
      <c r="J36" s="190" t="s">
        <v>723</v>
      </c>
      <c r="K36" s="185"/>
      <c r="L36" s="186"/>
      <c r="M36" s="185"/>
      <c r="N36" s="186"/>
      <c r="O36" s="185"/>
      <c r="P36" s="186"/>
      <c r="Q36" s="210"/>
    </row>
    <row r="37" spans="1:17" s="188" customFormat="1" ht="66" customHeight="1">
      <c r="A37" s="184" t="s">
        <v>789</v>
      </c>
      <c r="B37" s="212" t="s">
        <v>720</v>
      </c>
      <c r="C37" s="191" t="s">
        <v>737</v>
      </c>
      <c r="D37" s="191" t="s">
        <v>737</v>
      </c>
      <c r="E37" s="213" t="s">
        <v>722</v>
      </c>
      <c r="F37" s="214" t="s">
        <v>723</v>
      </c>
      <c r="G37" s="196" t="s">
        <v>790</v>
      </c>
      <c r="H37" s="210"/>
      <c r="I37" s="182" t="s">
        <v>725</v>
      </c>
      <c r="J37" s="184">
        <v>23</v>
      </c>
      <c r="K37" s="186"/>
      <c r="L37" s="186"/>
      <c r="M37" s="186"/>
      <c r="N37" s="186"/>
      <c r="O37" s="185"/>
      <c r="P37" s="186"/>
      <c r="Q37" s="196" t="s">
        <v>791</v>
      </c>
    </row>
    <row r="38" spans="1:17" s="188" customFormat="1" ht="32.25" customHeight="1">
      <c r="A38" s="196" t="s">
        <v>792</v>
      </c>
      <c r="B38" s="212" t="s">
        <v>720</v>
      </c>
      <c r="C38" s="215" t="s">
        <v>721</v>
      </c>
      <c r="D38" s="181" t="s">
        <v>721</v>
      </c>
      <c r="E38" s="213">
        <v>300</v>
      </c>
      <c r="F38" s="216">
        <v>0.1</v>
      </c>
      <c r="G38" s="183" t="s">
        <v>793</v>
      </c>
      <c r="H38" s="210"/>
      <c r="I38" s="196" t="s">
        <v>725</v>
      </c>
      <c r="J38" s="190" t="s">
        <v>723</v>
      </c>
      <c r="K38" s="186"/>
      <c r="L38" s="186"/>
      <c r="M38" s="186"/>
      <c r="N38" s="186"/>
      <c r="O38" s="186"/>
      <c r="P38" s="186"/>
      <c r="Q38" s="196"/>
    </row>
    <row r="39" spans="1:17" s="188" customFormat="1" ht="24.75" customHeight="1">
      <c r="A39" s="196" t="s">
        <v>794</v>
      </c>
      <c r="B39" s="196" t="s">
        <v>720</v>
      </c>
      <c r="C39" s="215" t="s">
        <v>721</v>
      </c>
      <c r="D39" s="181" t="s">
        <v>721</v>
      </c>
      <c r="E39" s="217" t="s">
        <v>722</v>
      </c>
      <c r="F39" s="216">
        <v>0.1</v>
      </c>
      <c r="G39" s="218" t="s">
        <v>795</v>
      </c>
      <c r="H39" s="196"/>
      <c r="I39" s="196" t="s">
        <v>725</v>
      </c>
      <c r="J39" s="190" t="s">
        <v>723</v>
      </c>
      <c r="K39" s="186"/>
      <c r="L39" s="186"/>
      <c r="M39" s="186"/>
      <c r="N39" s="186"/>
      <c r="O39" s="186"/>
      <c r="P39" s="186"/>
      <c r="Q39" s="196"/>
    </row>
    <row r="40" spans="1:17" s="188" customFormat="1" ht="31.5" customHeight="1">
      <c r="A40" s="182" t="s">
        <v>101</v>
      </c>
      <c r="B40" s="182" t="s">
        <v>736</v>
      </c>
      <c r="C40" s="191" t="s">
        <v>737</v>
      </c>
      <c r="D40" s="191" t="s">
        <v>737</v>
      </c>
      <c r="E40" s="182" t="s">
        <v>722</v>
      </c>
      <c r="F40" s="219">
        <v>0.14399999999999999</v>
      </c>
      <c r="G40" s="220" t="s">
        <v>796</v>
      </c>
      <c r="H40" s="182" t="s">
        <v>796</v>
      </c>
      <c r="I40" s="182" t="s">
        <v>725</v>
      </c>
      <c r="J40" s="184">
        <v>22</v>
      </c>
      <c r="K40" s="185"/>
      <c r="L40" s="185"/>
      <c r="M40" s="185"/>
      <c r="N40" s="185"/>
      <c r="O40" s="185"/>
      <c r="P40" s="186"/>
      <c r="Q40" s="196" t="s">
        <v>797</v>
      </c>
    </row>
    <row r="41" spans="1:17" s="188" customFormat="1" ht="31.5" customHeight="1">
      <c r="A41" s="182" t="s">
        <v>798</v>
      </c>
      <c r="B41" s="182"/>
      <c r="C41" s="181"/>
      <c r="D41" s="191"/>
      <c r="E41" s="182"/>
      <c r="F41" s="189">
        <v>0</v>
      </c>
      <c r="G41" s="197" t="s">
        <v>799</v>
      </c>
      <c r="H41" s="182"/>
      <c r="I41" s="182" t="s">
        <v>725</v>
      </c>
      <c r="J41" s="184"/>
      <c r="K41" s="186"/>
      <c r="L41" s="186"/>
      <c r="M41" s="186"/>
      <c r="N41" s="186"/>
      <c r="O41" s="186"/>
      <c r="P41" s="186"/>
      <c r="Q41" s="182"/>
    </row>
    <row r="42" spans="1:17" s="188" customFormat="1" ht="31.5" customHeight="1">
      <c r="A42" s="182" t="s">
        <v>103</v>
      </c>
      <c r="B42" s="182" t="s">
        <v>720</v>
      </c>
      <c r="C42" s="181" t="s">
        <v>721</v>
      </c>
      <c r="D42" s="181"/>
      <c r="E42" s="194">
        <v>200</v>
      </c>
      <c r="F42" s="189">
        <v>0.15</v>
      </c>
      <c r="G42" s="197" t="s">
        <v>800</v>
      </c>
      <c r="H42" s="182"/>
      <c r="I42" s="182" t="s">
        <v>725</v>
      </c>
      <c r="J42" s="184"/>
      <c r="K42" s="186"/>
      <c r="L42" s="186"/>
      <c r="M42" s="186"/>
      <c r="N42" s="186"/>
      <c r="O42" s="186"/>
      <c r="P42" s="186"/>
      <c r="Q42" s="182"/>
    </row>
    <row r="43" spans="1:17" s="188" customFormat="1" ht="24.75" customHeight="1">
      <c r="A43" s="182" t="s">
        <v>105</v>
      </c>
      <c r="B43" s="196" t="s">
        <v>720</v>
      </c>
      <c r="C43" s="181" t="s">
        <v>721</v>
      </c>
      <c r="D43" s="181"/>
      <c r="E43" s="194" t="s">
        <v>801</v>
      </c>
      <c r="F43" s="189">
        <v>0.15</v>
      </c>
      <c r="G43" s="220"/>
      <c r="H43" s="182"/>
      <c r="I43" s="182" t="s">
        <v>725</v>
      </c>
      <c r="J43" s="184"/>
      <c r="K43" s="186"/>
      <c r="L43" s="186"/>
      <c r="M43" s="186"/>
      <c r="N43" s="185"/>
      <c r="O43" s="185"/>
      <c r="P43" s="186"/>
      <c r="Q43" s="182"/>
    </row>
    <row r="44" spans="1:17" s="188" customFormat="1" ht="24.75" customHeight="1">
      <c r="A44" s="182" t="s">
        <v>107</v>
      </c>
      <c r="B44" s="212" t="s">
        <v>720</v>
      </c>
      <c r="C44" s="181" t="s">
        <v>721</v>
      </c>
      <c r="D44" s="181" t="s">
        <v>721</v>
      </c>
      <c r="E44" s="182" t="s">
        <v>722</v>
      </c>
      <c r="F44" s="189">
        <v>0.15</v>
      </c>
      <c r="G44" s="182"/>
      <c r="H44" s="182"/>
      <c r="I44" s="182" t="s">
        <v>725</v>
      </c>
      <c r="J44" s="190" t="s">
        <v>723</v>
      </c>
      <c r="K44" s="186"/>
      <c r="L44" s="186"/>
      <c r="M44" s="186"/>
      <c r="N44" s="186"/>
      <c r="O44" s="186"/>
      <c r="P44" s="186"/>
      <c r="Q44" s="182"/>
    </row>
    <row r="45" spans="1:17" s="188" customFormat="1" ht="24.75" customHeight="1">
      <c r="A45" s="182" t="s">
        <v>109</v>
      </c>
      <c r="B45" s="182" t="s">
        <v>736</v>
      </c>
      <c r="C45" s="181" t="s">
        <v>721</v>
      </c>
      <c r="D45" s="191" t="s">
        <v>737</v>
      </c>
      <c r="E45" s="182" t="s">
        <v>722</v>
      </c>
      <c r="F45" s="189">
        <v>0.1</v>
      </c>
      <c r="G45" s="182" t="s">
        <v>802</v>
      </c>
      <c r="H45" s="182" t="s">
        <v>796</v>
      </c>
      <c r="I45" s="182" t="s">
        <v>725</v>
      </c>
      <c r="J45" s="190" t="s">
        <v>723</v>
      </c>
      <c r="K45" s="186"/>
      <c r="L45" s="186"/>
      <c r="M45" s="186"/>
      <c r="N45" s="186"/>
      <c r="O45" s="186"/>
      <c r="P45" s="186"/>
      <c r="Q45" s="182"/>
    </row>
    <row r="46" spans="1:17" s="188" customFormat="1" ht="24.75" customHeight="1">
      <c r="A46" s="182" t="s">
        <v>111</v>
      </c>
      <c r="B46" s="182" t="s">
        <v>720</v>
      </c>
      <c r="C46" s="181" t="s">
        <v>721</v>
      </c>
      <c r="D46" s="181" t="s">
        <v>721</v>
      </c>
      <c r="E46" s="182" t="s">
        <v>722</v>
      </c>
      <c r="F46" s="189">
        <v>0.12</v>
      </c>
      <c r="G46" s="182"/>
      <c r="H46" s="182"/>
      <c r="I46" s="182" t="s">
        <v>725</v>
      </c>
      <c r="J46" s="190" t="s">
        <v>723</v>
      </c>
      <c r="K46" s="186"/>
      <c r="L46" s="186"/>
      <c r="M46" s="186"/>
      <c r="N46" s="186"/>
      <c r="O46" s="186"/>
      <c r="P46" s="186"/>
      <c r="Q46" s="182"/>
    </row>
    <row r="47" spans="1:17" s="188" customFormat="1" ht="24.75" customHeight="1">
      <c r="A47" s="182" t="s">
        <v>112</v>
      </c>
      <c r="B47" s="182" t="s">
        <v>720</v>
      </c>
      <c r="C47" s="181" t="s">
        <v>721</v>
      </c>
      <c r="D47" s="181" t="s">
        <v>721</v>
      </c>
      <c r="E47" s="182" t="s">
        <v>722</v>
      </c>
      <c r="F47" s="182" t="s">
        <v>723</v>
      </c>
      <c r="G47" s="183" t="s">
        <v>803</v>
      </c>
      <c r="H47" s="182"/>
      <c r="I47" s="182" t="s">
        <v>725</v>
      </c>
      <c r="J47" s="190" t="s">
        <v>723</v>
      </c>
      <c r="K47" s="186"/>
      <c r="L47" s="186"/>
      <c r="M47" s="186"/>
      <c r="N47" s="186"/>
      <c r="O47" s="186"/>
      <c r="P47" s="186"/>
      <c r="Q47" s="182"/>
    </row>
    <row r="48" spans="1:17" s="223" customFormat="1" ht="62.25" customHeight="1">
      <c r="A48" s="184" t="s">
        <v>804</v>
      </c>
      <c r="B48" s="221" t="s">
        <v>720</v>
      </c>
      <c r="C48" s="191" t="s">
        <v>737</v>
      </c>
      <c r="D48" s="181" t="s">
        <v>721</v>
      </c>
      <c r="E48" s="221" t="s">
        <v>805</v>
      </c>
      <c r="F48" s="221" t="s">
        <v>723</v>
      </c>
      <c r="G48" s="222" t="s">
        <v>806</v>
      </c>
      <c r="H48" s="183" t="s">
        <v>807</v>
      </c>
      <c r="I48" s="182" t="s">
        <v>725</v>
      </c>
      <c r="J48" s="184">
        <v>39</v>
      </c>
      <c r="K48" s="456" t="s">
        <v>808</v>
      </c>
      <c r="L48" s="457"/>
      <c r="M48" s="457"/>
      <c r="N48" s="457"/>
      <c r="O48" s="458"/>
      <c r="P48" s="186"/>
      <c r="Q48" s="221"/>
    </row>
    <row r="49" spans="1:17" s="223" customFormat="1" ht="62.25" customHeight="1">
      <c r="A49" s="184" t="s">
        <v>809</v>
      </c>
      <c r="B49" s="221"/>
      <c r="C49" s="181" t="s">
        <v>721</v>
      </c>
      <c r="D49" s="181"/>
      <c r="E49" s="221"/>
      <c r="F49" s="225">
        <v>0.2</v>
      </c>
      <c r="G49" s="473"/>
      <c r="H49" s="183"/>
      <c r="I49" s="182" t="s">
        <v>725</v>
      </c>
      <c r="J49" s="184"/>
      <c r="K49" s="411"/>
      <c r="L49" s="412"/>
      <c r="M49" s="412"/>
      <c r="N49" s="412"/>
      <c r="O49" s="413"/>
      <c r="P49" s="186"/>
      <c r="Q49" s="221"/>
    </row>
    <row r="50" spans="1:17" s="223" customFormat="1" ht="24.75" customHeight="1">
      <c r="A50" s="184" t="s">
        <v>810</v>
      </c>
      <c r="B50" s="221" t="s">
        <v>720</v>
      </c>
      <c r="C50" s="181" t="s">
        <v>721</v>
      </c>
      <c r="D50" s="181" t="s">
        <v>721</v>
      </c>
      <c r="E50" s="224">
        <v>300</v>
      </c>
      <c r="F50" s="225">
        <v>0.1</v>
      </c>
      <c r="G50" s="195" t="s">
        <v>811</v>
      </c>
      <c r="H50" s="183"/>
      <c r="I50" s="182" t="s">
        <v>725</v>
      </c>
      <c r="J50" s="184"/>
      <c r="K50" s="186"/>
      <c r="L50" s="186"/>
      <c r="M50" s="186"/>
      <c r="N50" s="186"/>
      <c r="O50" s="186"/>
      <c r="P50" s="186"/>
      <c r="Q50" s="221"/>
    </row>
    <row r="51" spans="1:17" s="188" customFormat="1" ht="24.75" customHeight="1">
      <c r="A51" s="182" t="s">
        <v>118</v>
      </c>
      <c r="B51" s="182" t="s">
        <v>720</v>
      </c>
      <c r="C51" s="181" t="s">
        <v>721</v>
      </c>
      <c r="D51" s="181" t="s">
        <v>721</v>
      </c>
      <c r="E51" s="182" t="s">
        <v>722</v>
      </c>
      <c r="F51" s="189">
        <v>0.1</v>
      </c>
      <c r="G51" s="182"/>
      <c r="H51" s="182"/>
      <c r="I51" s="182" t="s">
        <v>725</v>
      </c>
      <c r="J51" s="190" t="s">
        <v>723</v>
      </c>
      <c r="K51" s="186"/>
      <c r="L51" s="186"/>
      <c r="M51" s="186"/>
      <c r="N51" s="186"/>
      <c r="O51" s="186"/>
      <c r="P51" s="186"/>
      <c r="Q51" s="182"/>
    </row>
    <row r="52" spans="1:17" s="188" customFormat="1" ht="24.75" customHeight="1">
      <c r="A52" s="182" t="s">
        <v>120</v>
      </c>
      <c r="B52" s="182" t="s">
        <v>720</v>
      </c>
      <c r="C52" s="181" t="s">
        <v>721</v>
      </c>
      <c r="D52" s="181" t="s">
        <v>721</v>
      </c>
      <c r="E52" s="182" t="s">
        <v>722</v>
      </c>
      <c r="F52" s="189">
        <v>0.12</v>
      </c>
      <c r="G52" s="183" t="s">
        <v>796</v>
      </c>
      <c r="H52" s="182"/>
      <c r="I52" s="182" t="s">
        <v>725</v>
      </c>
      <c r="J52" s="190"/>
      <c r="K52" s="186"/>
      <c r="L52" s="186"/>
      <c r="M52" s="186"/>
      <c r="N52" s="186"/>
      <c r="O52" s="186"/>
      <c r="P52" s="186"/>
      <c r="Q52" s="182"/>
    </row>
    <row r="53" spans="1:17" s="188" customFormat="1" ht="24.75" customHeight="1">
      <c r="A53" s="182" t="s">
        <v>123</v>
      </c>
      <c r="B53" s="182" t="s">
        <v>720</v>
      </c>
      <c r="C53" s="191" t="s">
        <v>737</v>
      </c>
      <c r="D53" s="181" t="s">
        <v>721</v>
      </c>
      <c r="E53" s="182" t="s">
        <v>722</v>
      </c>
      <c r="F53" s="189">
        <v>0.12</v>
      </c>
      <c r="G53" s="183" t="s">
        <v>796</v>
      </c>
      <c r="H53" s="182"/>
      <c r="I53" s="182" t="s">
        <v>725</v>
      </c>
      <c r="J53" s="190"/>
      <c r="K53" s="186"/>
      <c r="L53" s="186"/>
      <c r="M53" s="186"/>
      <c r="N53" s="186"/>
      <c r="O53" s="186"/>
      <c r="P53" s="186"/>
      <c r="Q53" s="182"/>
    </row>
    <row r="54" spans="1:17" s="188" customFormat="1" ht="24.75" customHeight="1">
      <c r="A54" s="182" t="s">
        <v>125</v>
      </c>
      <c r="B54" s="182" t="s">
        <v>720</v>
      </c>
      <c r="C54" s="181" t="s">
        <v>721</v>
      </c>
      <c r="D54" s="181" t="s">
        <v>721</v>
      </c>
      <c r="E54" s="182" t="s">
        <v>722</v>
      </c>
      <c r="F54" s="189">
        <v>0.1</v>
      </c>
      <c r="G54" s="182"/>
      <c r="H54" s="182"/>
      <c r="I54" s="182" t="s">
        <v>725</v>
      </c>
      <c r="J54" s="190" t="s">
        <v>723</v>
      </c>
      <c r="K54" s="186"/>
      <c r="L54" s="186"/>
      <c r="M54" s="186"/>
      <c r="N54" s="186"/>
      <c r="O54" s="186"/>
      <c r="P54" s="186"/>
      <c r="Q54" s="182"/>
    </row>
    <row r="55" spans="1:17" s="188" customFormat="1" ht="24.75" customHeight="1">
      <c r="A55" s="182" t="s">
        <v>126</v>
      </c>
      <c r="B55" s="182" t="s">
        <v>723</v>
      </c>
      <c r="C55" s="181" t="s">
        <v>721</v>
      </c>
      <c r="D55" s="181" t="s">
        <v>721</v>
      </c>
      <c r="E55" s="182" t="s">
        <v>722</v>
      </c>
      <c r="F55" s="189">
        <v>0.1</v>
      </c>
      <c r="G55" s="226"/>
      <c r="H55" s="182"/>
      <c r="I55" s="182" t="s">
        <v>725</v>
      </c>
      <c r="J55" s="190" t="s">
        <v>723</v>
      </c>
      <c r="K55" s="186"/>
      <c r="L55" s="186"/>
      <c r="M55" s="186"/>
      <c r="N55" s="186"/>
      <c r="O55" s="186"/>
      <c r="P55" s="186"/>
      <c r="Q55" s="182"/>
    </row>
    <row r="56" spans="1:17" s="188" customFormat="1" ht="24.75" customHeight="1">
      <c r="A56" s="182" t="s">
        <v>127</v>
      </c>
      <c r="B56" s="182"/>
      <c r="C56" s="181" t="s">
        <v>721</v>
      </c>
      <c r="D56" s="181"/>
      <c r="E56" s="194">
        <v>250</v>
      </c>
      <c r="F56" s="189">
        <v>0.1</v>
      </c>
      <c r="G56" s="195" t="s">
        <v>812</v>
      </c>
      <c r="H56" s="182"/>
      <c r="I56" s="182" t="s">
        <v>725</v>
      </c>
      <c r="J56" s="190"/>
      <c r="K56" s="186"/>
      <c r="L56" s="186"/>
      <c r="M56" s="186"/>
      <c r="N56" s="186"/>
      <c r="O56" s="186"/>
      <c r="P56" s="186"/>
      <c r="Q56" s="182"/>
    </row>
    <row r="57" spans="1:17" s="188" customFormat="1" ht="24.75" customHeight="1">
      <c r="A57" s="182" t="s">
        <v>813</v>
      </c>
      <c r="B57" s="182"/>
      <c r="C57" s="181" t="s">
        <v>721</v>
      </c>
      <c r="D57" s="181" t="s">
        <v>721</v>
      </c>
      <c r="E57" s="182"/>
      <c r="F57" s="189"/>
      <c r="G57" s="226"/>
      <c r="H57" s="182"/>
      <c r="I57" s="182" t="s">
        <v>814</v>
      </c>
      <c r="J57" s="190"/>
      <c r="K57" s="186"/>
      <c r="L57" s="186"/>
      <c r="M57" s="186"/>
      <c r="N57" s="186"/>
      <c r="O57" s="186"/>
      <c r="P57" s="186"/>
      <c r="Q57" s="182"/>
    </row>
    <row r="58" spans="1:17" s="188" customFormat="1" ht="24.75" customHeight="1">
      <c r="A58" s="227" t="s">
        <v>815</v>
      </c>
      <c r="B58" s="182" t="s">
        <v>720</v>
      </c>
      <c r="C58" s="191" t="s">
        <v>737</v>
      </c>
      <c r="D58" s="181" t="s">
        <v>721</v>
      </c>
      <c r="E58" s="194" t="s">
        <v>801</v>
      </c>
      <c r="F58" s="228">
        <v>0.15</v>
      </c>
      <c r="G58" s="183" t="s">
        <v>816</v>
      </c>
      <c r="H58" s="182"/>
      <c r="I58" s="182" t="s">
        <v>725</v>
      </c>
      <c r="J58" s="184">
        <v>19</v>
      </c>
      <c r="K58" s="185"/>
      <c r="L58" s="185"/>
      <c r="M58" s="185"/>
      <c r="N58" s="185"/>
      <c r="O58" s="185"/>
      <c r="P58" s="186"/>
      <c r="Q58" s="182" t="s">
        <v>817</v>
      </c>
    </row>
    <row r="59" spans="1:17" s="188" customFormat="1" ht="24.75" customHeight="1">
      <c r="A59" s="227" t="s">
        <v>818</v>
      </c>
      <c r="B59" s="182"/>
      <c r="C59" s="191" t="s">
        <v>737</v>
      </c>
      <c r="D59" s="181" t="s">
        <v>721</v>
      </c>
      <c r="E59" s="194"/>
      <c r="F59" s="228">
        <v>0</v>
      </c>
      <c r="G59" s="195" t="s">
        <v>819</v>
      </c>
      <c r="H59" s="182"/>
      <c r="I59" s="182" t="s">
        <v>725</v>
      </c>
      <c r="J59" s="184"/>
      <c r="K59" s="186"/>
      <c r="L59" s="186"/>
      <c r="M59" s="186"/>
      <c r="N59" s="186"/>
      <c r="O59" s="186"/>
      <c r="P59" s="186"/>
      <c r="Q59" s="182"/>
    </row>
    <row r="60" spans="1:17" s="188" customFormat="1" ht="24.75" customHeight="1">
      <c r="A60" s="182" t="s">
        <v>820</v>
      </c>
      <c r="B60" s="182" t="s">
        <v>720</v>
      </c>
      <c r="C60" s="181" t="s">
        <v>721</v>
      </c>
      <c r="D60" s="181" t="s">
        <v>721</v>
      </c>
      <c r="E60" s="182" t="s">
        <v>722</v>
      </c>
      <c r="F60" s="189">
        <v>0</v>
      </c>
      <c r="G60" s="229" t="s">
        <v>821</v>
      </c>
      <c r="H60" s="182"/>
      <c r="I60" s="182" t="s">
        <v>725</v>
      </c>
      <c r="J60" s="184">
        <v>32</v>
      </c>
      <c r="K60" s="465" t="s">
        <v>822</v>
      </c>
      <c r="L60" s="466"/>
      <c r="M60" s="466"/>
      <c r="N60" s="466"/>
      <c r="O60" s="467"/>
      <c r="P60" s="186"/>
      <c r="Q60" s="182"/>
    </row>
    <row r="61" spans="1:17" s="188" customFormat="1" ht="24.75" customHeight="1">
      <c r="A61" s="182" t="s">
        <v>131</v>
      </c>
      <c r="B61" s="182" t="s">
        <v>720</v>
      </c>
      <c r="C61" s="181" t="s">
        <v>721</v>
      </c>
      <c r="D61" s="181" t="s">
        <v>721</v>
      </c>
      <c r="E61" s="194">
        <v>300</v>
      </c>
      <c r="F61" s="189">
        <v>0.15</v>
      </c>
      <c r="G61" s="226"/>
      <c r="H61" s="182"/>
      <c r="I61" s="182" t="s">
        <v>725</v>
      </c>
      <c r="J61" s="190" t="s">
        <v>723</v>
      </c>
      <c r="K61" s="185"/>
      <c r="L61" s="185"/>
      <c r="M61" s="185"/>
      <c r="N61" s="185"/>
      <c r="O61" s="185"/>
      <c r="P61" s="186"/>
      <c r="Q61" s="182"/>
    </row>
    <row r="62" spans="1:17" s="188" customFormat="1" ht="24.75" customHeight="1">
      <c r="A62" s="182" t="s">
        <v>134</v>
      </c>
      <c r="B62" s="182"/>
      <c r="C62" s="181" t="s">
        <v>721</v>
      </c>
      <c r="D62" s="181" t="s">
        <v>721</v>
      </c>
      <c r="E62" s="194"/>
      <c r="F62" s="189" t="s">
        <v>723</v>
      </c>
      <c r="G62" s="229" t="s">
        <v>823</v>
      </c>
      <c r="H62" s="182"/>
      <c r="I62" s="182" t="s">
        <v>725</v>
      </c>
      <c r="J62" s="190" t="s">
        <v>723</v>
      </c>
      <c r="K62" s="186"/>
      <c r="L62" s="186"/>
      <c r="M62" s="186"/>
      <c r="N62" s="186"/>
      <c r="O62" s="186"/>
      <c r="P62" s="186"/>
      <c r="Q62" s="182"/>
    </row>
    <row r="63" spans="1:17" s="188" customFormat="1" ht="24.75" customHeight="1">
      <c r="A63" s="230" t="s">
        <v>137</v>
      </c>
      <c r="B63" s="182"/>
      <c r="C63" s="181" t="s">
        <v>721</v>
      </c>
      <c r="D63" s="181" t="s">
        <v>721</v>
      </c>
      <c r="E63" s="194"/>
      <c r="F63" s="189" t="s">
        <v>723</v>
      </c>
      <c r="G63" s="229" t="s">
        <v>824</v>
      </c>
      <c r="H63" s="182"/>
      <c r="I63" s="182" t="s">
        <v>725</v>
      </c>
      <c r="J63" s="184">
        <v>23</v>
      </c>
      <c r="K63" s="459" t="s">
        <v>825</v>
      </c>
      <c r="L63" s="460"/>
      <c r="M63" s="460"/>
      <c r="N63" s="460"/>
      <c r="O63" s="461"/>
      <c r="P63" s="186"/>
      <c r="Q63" s="182"/>
    </row>
    <row r="64" spans="1:17" s="188" customFormat="1" ht="24.75" customHeight="1">
      <c r="A64" s="230" t="s">
        <v>826</v>
      </c>
      <c r="B64" s="182"/>
      <c r="C64" s="181" t="s">
        <v>721</v>
      </c>
      <c r="D64" s="181"/>
      <c r="E64" s="194"/>
      <c r="F64" s="189"/>
      <c r="G64" s="229"/>
      <c r="H64" s="182"/>
      <c r="I64" s="182"/>
      <c r="J64" s="184"/>
      <c r="K64" s="186"/>
      <c r="L64" s="186"/>
      <c r="M64" s="186"/>
      <c r="N64" s="186"/>
      <c r="O64" s="186"/>
      <c r="P64" s="186"/>
      <c r="Q64" s="182"/>
    </row>
    <row r="65" spans="1:17" s="188" customFormat="1" ht="24.75" customHeight="1">
      <c r="A65" s="182" t="s">
        <v>827</v>
      </c>
      <c r="B65" s="182"/>
      <c r="C65" s="181" t="s">
        <v>721</v>
      </c>
      <c r="D65" s="181" t="s">
        <v>721</v>
      </c>
      <c r="E65" s="194"/>
      <c r="F65" s="189" t="s">
        <v>723</v>
      </c>
      <c r="G65" s="183" t="s">
        <v>828</v>
      </c>
      <c r="H65" s="182"/>
      <c r="I65" s="182" t="s">
        <v>725</v>
      </c>
      <c r="J65" s="190" t="s">
        <v>723</v>
      </c>
      <c r="K65" s="186"/>
      <c r="L65" s="186"/>
      <c r="M65" s="186"/>
      <c r="N65" s="186"/>
      <c r="O65" s="186"/>
      <c r="P65" s="186"/>
      <c r="Q65" s="182"/>
    </row>
    <row r="66" spans="1:17" s="188" customFormat="1" ht="24.75" customHeight="1">
      <c r="A66" s="182" t="s">
        <v>829</v>
      </c>
      <c r="B66" s="182" t="s">
        <v>830</v>
      </c>
      <c r="C66" s="191" t="s">
        <v>737</v>
      </c>
      <c r="D66" s="181" t="s">
        <v>721</v>
      </c>
      <c r="E66" s="194" t="s">
        <v>831</v>
      </c>
      <c r="F66" s="189">
        <v>0.25</v>
      </c>
      <c r="G66" s="183" t="s">
        <v>832</v>
      </c>
      <c r="H66" s="182"/>
      <c r="I66" s="182" t="s">
        <v>725</v>
      </c>
      <c r="J66" s="190" t="s">
        <v>723</v>
      </c>
      <c r="K66" s="186"/>
      <c r="L66" s="186"/>
      <c r="M66" s="186"/>
      <c r="N66" s="186"/>
      <c r="O66" s="186"/>
      <c r="P66" s="186"/>
      <c r="Q66" s="182"/>
    </row>
    <row r="67" spans="1:17" s="188" customFormat="1" ht="24.75" customHeight="1">
      <c r="A67" s="182" t="s">
        <v>141</v>
      </c>
      <c r="B67" s="182" t="s">
        <v>720</v>
      </c>
      <c r="C67" s="191" t="s">
        <v>737</v>
      </c>
      <c r="D67" s="181" t="s">
        <v>721</v>
      </c>
      <c r="E67" s="182" t="s">
        <v>722</v>
      </c>
      <c r="F67" s="219">
        <v>0.14399999999999999</v>
      </c>
      <c r="G67" s="183" t="s">
        <v>796</v>
      </c>
      <c r="H67" s="182"/>
      <c r="I67" s="182" t="s">
        <v>725</v>
      </c>
      <c r="J67" s="190"/>
      <c r="K67" s="186"/>
      <c r="L67" s="186"/>
      <c r="M67" s="186"/>
      <c r="N67" s="186"/>
      <c r="O67" s="186"/>
      <c r="P67" s="186"/>
      <c r="Q67" s="182"/>
    </row>
    <row r="68" spans="1:17" s="188" customFormat="1" ht="24.75" customHeight="1">
      <c r="A68" s="182" t="s">
        <v>142</v>
      </c>
      <c r="B68" s="182" t="s">
        <v>720</v>
      </c>
      <c r="C68" s="191" t="s">
        <v>737</v>
      </c>
      <c r="D68" s="181" t="s">
        <v>721</v>
      </c>
      <c r="E68" s="182" t="s">
        <v>722</v>
      </c>
      <c r="F68" s="189">
        <v>0.12</v>
      </c>
      <c r="G68" s="183" t="s">
        <v>796</v>
      </c>
      <c r="H68" s="182"/>
      <c r="I68" s="182" t="s">
        <v>725</v>
      </c>
      <c r="J68" s="190"/>
      <c r="K68" s="186"/>
      <c r="L68" s="186"/>
      <c r="M68" s="186"/>
      <c r="N68" s="186"/>
      <c r="O68" s="186"/>
      <c r="P68" s="186"/>
      <c r="Q68" s="182"/>
    </row>
    <row r="69" spans="1:17" s="188" customFormat="1" ht="24.75" customHeight="1">
      <c r="A69" s="182" t="s">
        <v>143</v>
      </c>
      <c r="B69" s="182" t="s">
        <v>720</v>
      </c>
      <c r="C69" s="181" t="s">
        <v>721</v>
      </c>
      <c r="D69" s="181" t="s">
        <v>721</v>
      </c>
      <c r="E69" s="194" t="s">
        <v>722</v>
      </c>
      <c r="F69" s="189">
        <v>0.1</v>
      </c>
      <c r="G69" s="183"/>
      <c r="H69" s="182"/>
      <c r="I69" s="182" t="s">
        <v>725</v>
      </c>
      <c r="J69" s="190" t="s">
        <v>723</v>
      </c>
      <c r="K69" s="186"/>
      <c r="L69" s="186"/>
      <c r="M69" s="186"/>
      <c r="N69" s="186"/>
      <c r="O69" s="186"/>
      <c r="P69" s="186"/>
      <c r="Q69" s="182" t="s">
        <v>833</v>
      </c>
    </row>
    <row r="70" spans="1:17" s="188" customFormat="1" ht="24.75" customHeight="1">
      <c r="A70" s="182" t="s">
        <v>834</v>
      </c>
      <c r="B70" s="182"/>
      <c r="C70" s="191" t="s">
        <v>737</v>
      </c>
      <c r="D70" s="181"/>
      <c r="E70" s="194"/>
      <c r="F70" s="189">
        <v>0</v>
      </c>
      <c r="G70" s="195" t="s">
        <v>835</v>
      </c>
      <c r="H70" s="182"/>
      <c r="I70" s="182" t="s">
        <v>767</v>
      </c>
      <c r="J70" s="190"/>
      <c r="K70" s="186"/>
      <c r="L70" s="186"/>
      <c r="M70" s="186"/>
      <c r="N70" s="186"/>
      <c r="O70" s="186"/>
      <c r="P70" s="186"/>
      <c r="Q70" s="182"/>
    </row>
    <row r="71" spans="1:17" s="188" customFormat="1" ht="24.75" customHeight="1">
      <c r="A71" s="182" t="s">
        <v>145</v>
      </c>
      <c r="B71" s="182" t="s">
        <v>720</v>
      </c>
      <c r="C71" s="181" t="s">
        <v>721</v>
      </c>
      <c r="D71" s="181" t="s">
        <v>721</v>
      </c>
      <c r="E71" s="194" t="s">
        <v>801</v>
      </c>
      <c r="F71" s="189">
        <v>0.15</v>
      </c>
      <c r="G71" s="229" t="s">
        <v>836</v>
      </c>
      <c r="H71" s="182"/>
      <c r="I71" s="182" t="s">
        <v>725</v>
      </c>
      <c r="J71" s="184">
        <v>23</v>
      </c>
      <c r="K71" s="185"/>
      <c r="L71" s="185"/>
      <c r="M71" s="185"/>
      <c r="N71" s="185"/>
      <c r="O71" s="185"/>
      <c r="P71" s="186"/>
      <c r="Q71" s="182" t="s">
        <v>837</v>
      </c>
    </row>
    <row r="72" spans="1:17" s="188" customFormat="1" ht="63" customHeight="1">
      <c r="A72" s="182" t="s">
        <v>838</v>
      </c>
      <c r="B72" s="182" t="s">
        <v>720</v>
      </c>
      <c r="C72" s="181" t="s">
        <v>721</v>
      </c>
      <c r="D72" s="181" t="s">
        <v>721</v>
      </c>
      <c r="E72" s="194">
        <v>250</v>
      </c>
      <c r="F72" s="189">
        <v>0.12</v>
      </c>
      <c r="G72" s="231"/>
      <c r="H72" s="182"/>
      <c r="I72" s="182" t="s">
        <v>725</v>
      </c>
      <c r="J72" s="184">
        <v>26</v>
      </c>
      <c r="K72" s="185"/>
      <c r="L72" s="185"/>
      <c r="M72" s="185"/>
      <c r="N72" s="185"/>
      <c r="O72" s="185"/>
      <c r="P72" s="186"/>
      <c r="Q72" s="182" t="s">
        <v>839</v>
      </c>
    </row>
    <row r="73" spans="1:17" s="188" customFormat="1" ht="63" customHeight="1">
      <c r="A73" s="182" t="s">
        <v>840</v>
      </c>
      <c r="B73" s="182"/>
      <c r="C73" s="181"/>
      <c r="D73" s="181"/>
      <c r="E73" s="194"/>
      <c r="F73" s="189">
        <v>0.15</v>
      </c>
      <c r="G73" s="231"/>
      <c r="H73" s="182"/>
      <c r="I73" s="182"/>
      <c r="J73" s="184"/>
      <c r="K73" s="185"/>
      <c r="L73" s="185"/>
      <c r="M73" s="185"/>
      <c r="N73" s="185"/>
      <c r="O73" s="185"/>
      <c r="P73" s="186"/>
      <c r="Q73" s="182"/>
    </row>
    <row r="74" spans="1:17" s="188" customFormat="1" ht="24.75" customHeight="1">
      <c r="A74" s="232" t="s">
        <v>841</v>
      </c>
      <c r="B74" s="182"/>
      <c r="C74" s="181" t="s">
        <v>721</v>
      </c>
      <c r="D74" s="181" t="s">
        <v>721</v>
      </c>
      <c r="E74" s="194"/>
      <c r="F74" s="189">
        <v>0.05</v>
      </c>
      <c r="G74" s="231"/>
      <c r="H74" s="182"/>
      <c r="I74" s="182" t="s">
        <v>725</v>
      </c>
      <c r="J74" s="184">
        <v>17</v>
      </c>
      <c r="K74" s="186"/>
      <c r="L74" s="186"/>
      <c r="M74" s="186"/>
      <c r="N74" s="186"/>
      <c r="O74" s="186"/>
      <c r="P74" s="186"/>
      <c r="Q74" s="182"/>
    </row>
    <row r="75" spans="1:17" s="188" customFormat="1" ht="24.75" customHeight="1">
      <c r="A75" s="232" t="s">
        <v>842</v>
      </c>
      <c r="B75" s="182" t="s">
        <v>720</v>
      </c>
      <c r="C75" s="181" t="s">
        <v>721</v>
      </c>
      <c r="D75" s="181" t="s">
        <v>721</v>
      </c>
      <c r="E75" s="194" t="s">
        <v>354</v>
      </c>
      <c r="F75" s="189">
        <v>0.1</v>
      </c>
      <c r="G75" s="197" t="s">
        <v>843</v>
      </c>
      <c r="H75" s="182"/>
      <c r="I75" s="182" t="s">
        <v>725</v>
      </c>
      <c r="J75" s="184"/>
      <c r="K75" s="186"/>
      <c r="L75" s="186"/>
      <c r="M75" s="186"/>
      <c r="N75" s="186"/>
      <c r="O75" s="186"/>
      <c r="P75" s="186"/>
      <c r="Q75" s="182"/>
    </row>
    <row r="76" spans="1:17" s="188" customFormat="1" ht="24.75" customHeight="1">
      <c r="A76" s="232" t="s">
        <v>844</v>
      </c>
      <c r="B76" s="182" t="s">
        <v>720</v>
      </c>
      <c r="C76" s="191" t="s">
        <v>737</v>
      </c>
      <c r="D76" s="181" t="s">
        <v>721</v>
      </c>
      <c r="E76" s="194">
        <v>250</v>
      </c>
      <c r="F76" s="189">
        <v>0.12</v>
      </c>
      <c r="G76" s="229" t="s">
        <v>845</v>
      </c>
      <c r="H76" s="182"/>
      <c r="I76" s="182" t="s">
        <v>725</v>
      </c>
      <c r="J76" s="184">
        <v>14</v>
      </c>
      <c r="K76" s="186"/>
      <c r="L76" s="186"/>
      <c r="M76" s="186"/>
      <c r="N76" s="185"/>
      <c r="O76" s="186"/>
      <c r="P76" s="186"/>
      <c r="Q76" s="182" t="s">
        <v>846</v>
      </c>
    </row>
    <row r="77" spans="1:17" s="188" customFormat="1" ht="24.75" customHeight="1">
      <c r="A77" s="227" t="s">
        <v>847</v>
      </c>
      <c r="B77" s="182" t="s">
        <v>720</v>
      </c>
      <c r="C77" s="191" t="s">
        <v>737</v>
      </c>
      <c r="D77" s="181" t="s">
        <v>721</v>
      </c>
      <c r="E77" s="194">
        <v>250</v>
      </c>
      <c r="F77" s="189">
        <v>0.12</v>
      </c>
      <c r="G77" s="183" t="s">
        <v>848</v>
      </c>
      <c r="H77" s="182"/>
      <c r="I77" s="182" t="s">
        <v>725</v>
      </c>
      <c r="J77" s="190" t="s">
        <v>723</v>
      </c>
      <c r="K77" s="186"/>
      <c r="L77" s="186"/>
      <c r="M77" s="186"/>
      <c r="N77" s="185"/>
      <c r="O77" s="186"/>
      <c r="P77" s="186"/>
      <c r="Q77" s="182" t="s">
        <v>846</v>
      </c>
    </row>
    <row r="78" spans="1:17" s="188" customFormat="1" ht="24.75" customHeight="1">
      <c r="A78" s="227" t="s">
        <v>150</v>
      </c>
      <c r="B78" s="182" t="s">
        <v>723</v>
      </c>
      <c r="C78" s="181" t="s">
        <v>721</v>
      </c>
      <c r="D78" s="181"/>
      <c r="E78" s="194"/>
      <c r="F78" s="189">
        <v>0</v>
      </c>
      <c r="G78" s="183"/>
      <c r="H78" s="182"/>
      <c r="I78" s="182" t="s">
        <v>725</v>
      </c>
      <c r="J78" s="190"/>
      <c r="K78" s="186"/>
      <c r="L78" s="186"/>
      <c r="M78" s="186"/>
      <c r="N78" s="185"/>
      <c r="O78" s="186"/>
      <c r="P78" s="186"/>
      <c r="Q78" s="182"/>
    </row>
    <row r="79" spans="1:17" s="188" customFormat="1" ht="24.75" customHeight="1">
      <c r="A79" s="182" t="s">
        <v>151</v>
      </c>
      <c r="B79" s="182" t="s">
        <v>720</v>
      </c>
      <c r="C79" s="181" t="s">
        <v>721</v>
      </c>
      <c r="D79" s="181" t="s">
        <v>721</v>
      </c>
      <c r="E79" s="233" t="s">
        <v>722</v>
      </c>
      <c r="F79" s="189">
        <v>0.1</v>
      </c>
      <c r="G79" s="234"/>
      <c r="H79" s="182"/>
      <c r="I79" s="182" t="s">
        <v>725</v>
      </c>
      <c r="J79" s="190" t="s">
        <v>723</v>
      </c>
      <c r="K79" s="186"/>
      <c r="L79" s="186"/>
      <c r="M79" s="186"/>
      <c r="N79" s="186"/>
      <c r="O79" s="186"/>
      <c r="P79" s="186"/>
      <c r="Q79" s="182"/>
    </row>
    <row r="80" spans="1:17" s="188" customFormat="1" ht="24.75" customHeight="1">
      <c r="A80" s="182" t="s">
        <v>152</v>
      </c>
      <c r="B80" s="182" t="s">
        <v>720</v>
      </c>
      <c r="C80" s="181" t="s">
        <v>721</v>
      </c>
      <c r="D80" s="181" t="s">
        <v>721</v>
      </c>
      <c r="E80" s="233" t="s">
        <v>722</v>
      </c>
      <c r="F80" s="371">
        <v>0.15</v>
      </c>
      <c r="G80" s="234"/>
      <c r="H80" s="182"/>
      <c r="I80" s="182" t="s">
        <v>725</v>
      </c>
      <c r="J80" s="190" t="s">
        <v>723</v>
      </c>
      <c r="K80" s="185"/>
      <c r="L80" s="185"/>
      <c r="M80" s="185"/>
      <c r="N80" s="185"/>
      <c r="O80" s="185"/>
      <c r="P80" s="186"/>
      <c r="Q80" s="182"/>
    </row>
    <row r="81" spans="1:19" s="188" customFormat="1" ht="24.75" customHeight="1">
      <c r="A81" s="182" t="s">
        <v>849</v>
      </c>
      <c r="B81" s="182" t="s">
        <v>723</v>
      </c>
      <c r="C81" s="191" t="s">
        <v>737</v>
      </c>
      <c r="D81" s="181"/>
      <c r="E81" s="233"/>
      <c r="F81" s="235">
        <v>0</v>
      </c>
      <c r="G81" s="234"/>
      <c r="H81" s="182"/>
      <c r="I81" s="182" t="s">
        <v>725</v>
      </c>
      <c r="J81" s="190"/>
      <c r="K81" s="186"/>
      <c r="L81" s="186"/>
      <c r="M81" s="186"/>
      <c r="N81" s="186"/>
      <c r="O81" s="186"/>
      <c r="P81" s="186"/>
      <c r="Q81" s="182"/>
    </row>
    <row r="82" spans="1:19" s="188" customFormat="1" ht="24.75" customHeight="1">
      <c r="A82" s="182" t="s">
        <v>153</v>
      </c>
      <c r="B82" s="182"/>
      <c r="C82" s="181"/>
      <c r="D82" s="181"/>
      <c r="E82" s="233"/>
      <c r="F82" s="189">
        <v>0</v>
      </c>
      <c r="G82" s="234"/>
      <c r="H82" s="182"/>
      <c r="I82" s="182"/>
      <c r="J82" s="190"/>
      <c r="K82" s="185"/>
      <c r="L82" s="185"/>
      <c r="M82" s="185"/>
      <c r="N82" s="185"/>
      <c r="O82" s="185"/>
      <c r="P82" s="186"/>
      <c r="Q82" s="182"/>
    </row>
    <row r="83" spans="1:19" s="188" customFormat="1" ht="36.75" customHeight="1">
      <c r="A83" s="182" t="s">
        <v>154</v>
      </c>
      <c r="B83" s="182" t="s">
        <v>736</v>
      </c>
      <c r="C83" s="181" t="s">
        <v>721</v>
      </c>
      <c r="D83" s="191" t="s">
        <v>737</v>
      </c>
      <c r="E83" s="182" t="s">
        <v>722</v>
      </c>
      <c r="F83" s="219">
        <v>0.125</v>
      </c>
      <c r="G83" s="222" t="s">
        <v>850</v>
      </c>
      <c r="H83" s="182" t="s">
        <v>796</v>
      </c>
      <c r="I83" s="182" t="s">
        <v>725</v>
      </c>
      <c r="J83" s="184">
        <v>33</v>
      </c>
      <c r="K83" s="185"/>
      <c r="L83" s="185"/>
      <c r="M83" s="185"/>
      <c r="N83" s="185"/>
      <c r="O83" s="185"/>
      <c r="P83" s="186"/>
      <c r="Q83" s="182" t="s">
        <v>851</v>
      </c>
      <c r="S83" s="188" t="s">
        <v>852</v>
      </c>
    </row>
    <row r="84" spans="1:19" s="188" customFormat="1" ht="36.75" customHeight="1">
      <c r="A84" s="182" t="s">
        <v>853</v>
      </c>
      <c r="B84" s="182" t="s">
        <v>720</v>
      </c>
      <c r="C84" s="181" t="s">
        <v>721</v>
      </c>
      <c r="D84" s="181" t="s">
        <v>721</v>
      </c>
      <c r="E84" s="194" t="s">
        <v>854</v>
      </c>
      <c r="F84" s="189">
        <v>0.1</v>
      </c>
      <c r="G84" s="222"/>
      <c r="H84" s="182"/>
      <c r="I84" s="182" t="s">
        <v>725</v>
      </c>
      <c r="J84" s="184"/>
      <c r="K84" s="186"/>
      <c r="L84" s="186"/>
      <c r="M84" s="186"/>
      <c r="N84" s="186"/>
      <c r="O84" s="186"/>
      <c r="P84" s="186"/>
      <c r="Q84" s="182"/>
    </row>
    <row r="85" spans="1:19" s="188" customFormat="1" ht="36.75" customHeight="1">
      <c r="A85" s="182" t="s">
        <v>155</v>
      </c>
      <c r="B85" s="182"/>
      <c r="C85" s="181" t="s">
        <v>721</v>
      </c>
      <c r="D85" s="181"/>
      <c r="E85" s="194"/>
      <c r="F85" s="189">
        <v>0.15</v>
      </c>
      <c r="G85" s="222"/>
      <c r="H85" s="182"/>
      <c r="I85" s="182"/>
      <c r="J85" s="184"/>
      <c r="K85" s="186"/>
      <c r="L85" s="186"/>
      <c r="M85" s="186"/>
      <c r="N85" s="186"/>
      <c r="O85" s="186"/>
      <c r="P85" s="186"/>
      <c r="Q85" s="182"/>
    </row>
    <row r="86" spans="1:19" s="369" customFormat="1" ht="30">
      <c r="A86" s="362" t="s">
        <v>855</v>
      </c>
      <c r="B86" s="362" t="s">
        <v>723</v>
      </c>
      <c r="C86" s="363" t="s">
        <v>721</v>
      </c>
      <c r="D86" s="363" t="s">
        <v>721</v>
      </c>
      <c r="E86" s="362" t="s">
        <v>856</v>
      </c>
      <c r="F86" s="364">
        <v>0.1</v>
      </c>
      <c r="G86" s="370"/>
      <c r="H86" s="362"/>
      <c r="I86" s="362" t="s">
        <v>725</v>
      </c>
      <c r="J86" s="366" t="s">
        <v>723</v>
      </c>
      <c r="K86" s="367"/>
      <c r="L86" s="367"/>
      <c r="M86" s="367"/>
      <c r="N86" s="367"/>
      <c r="O86" s="367"/>
      <c r="P86" s="367"/>
      <c r="Q86" s="362"/>
    </row>
    <row r="87" spans="1:19" s="188" customFormat="1" ht="24.75" customHeight="1">
      <c r="A87" s="182" t="s">
        <v>857</v>
      </c>
      <c r="B87" s="182"/>
      <c r="C87" s="181"/>
      <c r="D87" s="181" t="s">
        <v>721</v>
      </c>
      <c r="E87" s="182"/>
      <c r="F87" s="189" t="s">
        <v>858</v>
      </c>
      <c r="G87" s="234"/>
      <c r="H87" s="182"/>
      <c r="I87" s="182" t="s">
        <v>725</v>
      </c>
      <c r="J87" s="190" t="s">
        <v>723</v>
      </c>
      <c r="K87" s="186"/>
      <c r="L87" s="186"/>
      <c r="M87" s="186"/>
      <c r="N87" s="186"/>
      <c r="O87" s="186"/>
      <c r="P87" s="186"/>
      <c r="Q87" s="182"/>
    </row>
    <row r="88" spans="1:19" s="188" customFormat="1" ht="24.75" customHeight="1">
      <c r="A88" s="182" t="s">
        <v>859</v>
      </c>
      <c r="B88" s="182" t="s">
        <v>720</v>
      </c>
      <c r="C88" s="181" t="s">
        <v>721</v>
      </c>
      <c r="D88" s="181" t="s">
        <v>721</v>
      </c>
      <c r="E88" s="182" t="s">
        <v>722</v>
      </c>
      <c r="F88" s="189">
        <v>0.15</v>
      </c>
      <c r="G88" s="186"/>
      <c r="H88" s="182"/>
      <c r="I88" s="182" t="s">
        <v>725</v>
      </c>
      <c r="J88" s="190" t="s">
        <v>723</v>
      </c>
      <c r="K88" s="186"/>
      <c r="L88" s="186"/>
      <c r="M88" s="186"/>
      <c r="N88" s="186"/>
      <c r="O88" s="186"/>
      <c r="P88" s="186"/>
      <c r="Q88" s="182"/>
    </row>
    <row r="89" spans="1:19" s="188" customFormat="1" ht="24.75" customHeight="1">
      <c r="A89" s="182" t="s">
        <v>158</v>
      </c>
      <c r="B89" s="182" t="s">
        <v>723</v>
      </c>
      <c r="C89" s="181" t="s">
        <v>721</v>
      </c>
      <c r="D89" s="191" t="s">
        <v>737</v>
      </c>
      <c r="E89" s="182" t="s">
        <v>856</v>
      </c>
      <c r="F89" s="189" t="s">
        <v>723</v>
      </c>
      <c r="G89" s="186"/>
      <c r="H89" s="182"/>
      <c r="I89" s="182" t="s">
        <v>725</v>
      </c>
      <c r="J89" s="190" t="s">
        <v>723</v>
      </c>
      <c r="K89" s="186"/>
      <c r="L89" s="186"/>
      <c r="M89" s="186"/>
      <c r="N89" s="186"/>
      <c r="O89" s="186"/>
      <c r="P89" s="186"/>
      <c r="Q89" s="182"/>
    </row>
    <row r="90" spans="1:19" s="188" customFormat="1" ht="24.75" customHeight="1">
      <c r="A90" s="182" t="s">
        <v>860</v>
      </c>
      <c r="B90" s="182" t="s">
        <v>723</v>
      </c>
      <c r="C90" s="181" t="s">
        <v>721</v>
      </c>
      <c r="D90" s="181" t="s">
        <v>721</v>
      </c>
      <c r="E90" s="182" t="s">
        <v>861</v>
      </c>
      <c r="F90" s="189" t="s">
        <v>723</v>
      </c>
      <c r="G90" s="186"/>
      <c r="H90" s="182"/>
      <c r="I90" s="182" t="s">
        <v>725</v>
      </c>
      <c r="J90" s="190" t="s">
        <v>723</v>
      </c>
      <c r="K90" s="186"/>
      <c r="L90" s="186"/>
      <c r="M90" s="186"/>
      <c r="N90" s="186"/>
      <c r="O90" s="186"/>
      <c r="P90" s="186"/>
      <c r="Q90" s="182"/>
    </row>
    <row r="91" spans="1:19" s="188" customFormat="1" ht="24.75" customHeight="1">
      <c r="A91" s="182" t="s">
        <v>159</v>
      </c>
      <c r="B91" s="182" t="s">
        <v>720</v>
      </c>
      <c r="C91" s="181" t="s">
        <v>721</v>
      </c>
      <c r="D91" s="181" t="s">
        <v>721</v>
      </c>
      <c r="E91" s="182" t="s">
        <v>722</v>
      </c>
      <c r="F91" s="182" t="s">
        <v>723</v>
      </c>
      <c r="G91" s="183" t="s">
        <v>862</v>
      </c>
      <c r="H91" s="182"/>
      <c r="I91" s="182" t="s">
        <v>725</v>
      </c>
      <c r="J91" s="190" t="s">
        <v>723</v>
      </c>
      <c r="K91" s="186"/>
      <c r="L91" s="186"/>
      <c r="M91" s="186"/>
      <c r="N91" s="186"/>
      <c r="O91" s="186"/>
      <c r="P91" s="186"/>
      <c r="Q91" s="182" t="s">
        <v>863</v>
      </c>
    </row>
    <row r="92" spans="1:19" s="188" customFormat="1" ht="44.25" customHeight="1">
      <c r="A92" s="236" t="s">
        <v>161</v>
      </c>
      <c r="B92" s="182"/>
      <c r="C92" s="181" t="s">
        <v>721</v>
      </c>
      <c r="D92" s="191" t="s">
        <v>737</v>
      </c>
      <c r="E92" s="182" t="s">
        <v>864</v>
      </c>
      <c r="F92" s="219">
        <v>0.14399999999999999</v>
      </c>
      <c r="G92" s="183" t="s">
        <v>865</v>
      </c>
      <c r="H92" s="182"/>
      <c r="I92" s="182" t="s">
        <v>725</v>
      </c>
      <c r="J92" s="184">
        <v>16</v>
      </c>
      <c r="K92" s="186"/>
      <c r="L92" s="185"/>
      <c r="M92" s="186"/>
      <c r="N92" s="185"/>
      <c r="O92" s="186"/>
      <c r="P92" s="186"/>
      <c r="Q92" s="182" t="s">
        <v>866</v>
      </c>
    </row>
    <row r="93" spans="1:19" s="188" customFormat="1" ht="44.25" customHeight="1">
      <c r="A93" s="182" t="s">
        <v>163</v>
      </c>
      <c r="B93" s="182"/>
      <c r="C93" s="181"/>
      <c r="D93" s="191"/>
      <c r="E93" s="182"/>
      <c r="F93" s="189">
        <v>0</v>
      </c>
      <c r="G93" s="183"/>
      <c r="H93" s="182"/>
      <c r="I93" s="182"/>
      <c r="J93" s="184"/>
      <c r="K93" s="182"/>
      <c r="L93" s="182"/>
      <c r="M93" s="182"/>
      <c r="N93" s="182"/>
      <c r="O93" s="182"/>
      <c r="P93" s="186"/>
      <c r="Q93" s="182"/>
    </row>
    <row r="94" spans="1:19" s="188" customFormat="1" ht="44.25" customHeight="1">
      <c r="A94" s="236" t="s">
        <v>867</v>
      </c>
      <c r="B94" s="182" t="s">
        <v>751</v>
      </c>
      <c r="C94" s="181" t="s">
        <v>721</v>
      </c>
      <c r="D94" s="181" t="s">
        <v>721</v>
      </c>
      <c r="E94" s="182"/>
      <c r="F94" s="189">
        <v>0</v>
      </c>
      <c r="G94" s="222" t="s">
        <v>868</v>
      </c>
      <c r="H94" s="182"/>
      <c r="I94" s="182" t="s">
        <v>725</v>
      </c>
      <c r="J94" s="184"/>
      <c r="K94" s="182"/>
      <c r="L94" s="182"/>
      <c r="M94" s="182"/>
      <c r="N94" s="182"/>
      <c r="O94" s="182"/>
      <c r="P94" s="186"/>
      <c r="Q94" s="182"/>
    </row>
    <row r="95" spans="1:19" s="188" customFormat="1" ht="24.75" customHeight="1">
      <c r="A95" s="182" t="s">
        <v>165</v>
      </c>
      <c r="B95" s="182" t="s">
        <v>720</v>
      </c>
      <c r="C95" s="181" t="s">
        <v>721</v>
      </c>
      <c r="D95" s="181" t="s">
        <v>721</v>
      </c>
      <c r="E95" s="182" t="s">
        <v>722</v>
      </c>
      <c r="F95" s="182" t="s">
        <v>723</v>
      </c>
      <c r="G95" s="234" t="s">
        <v>869</v>
      </c>
      <c r="H95" s="182"/>
      <c r="I95" s="182" t="s">
        <v>725</v>
      </c>
      <c r="J95" s="190" t="s">
        <v>723</v>
      </c>
      <c r="K95" s="186"/>
      <c r="L95" s="186"/>
      <c r="M95" s="186"/>
      <c r="N95" s="186"/>
      <c r="O95" s="186"/>
      <c r="P95" s="186"/>
      <c r="Q95" s="182"/>
    </row>
    <row r="96" spans="1:19" s="188" customFormat="1" ht="24.75" customHeight="1">
      <c r="A96" s="182" t="s">
        <v>870</v>
      </c>
      <c r="B96" s="182" t="s">
        <v>720</v>
      </c>
      <c r="C96" s="181" t="s">
        <v>721</v>
      </c>
      <c r="D96" s="181" t="s">
        <v>721</v>
      </c>
      <c r="E96" s="182" t="s">
        <v>722</v>
      </c>
      <c r="F96" s="189">
        <v>0</v>
      </c>
      <c r="G96" s="183" t="s">
        <v>871</v>
      </c>
      <c r="H96" s="182"/>
      <c r="I96" s="182" t="s">
        <v>725</v>
      </c>
      <c r="J96" s="190" t="s">
        <v>723</v>
      </c>
      <c r="K96" s="186"/>
      <c r="L96" s="186"/>
      <c r="M96" s="186"/>
      <c r="N96" s="186"/>
      <c r="O96" s="186"/>
      <c r="P96" s="186"/>
      <c r="Q96" s="182"/>
    </row>
    <row r="97" spans="1:17" s="188" customFormat="1" ht="39" customHeight="1">
      <c r="A97" s="182" t="s">
        <v>167</v>
      </c>
      <c r="B97" s="182" t="s">
        <v>720</v>
      </c>
      <c r="C97" s="181" t="s">
        <v>721</v>
      </c>
      <c r="D97" s="181" t="s">
        <v>721</v>
      </c>
      <c r="E97" s="182" t="s">
        <v>722</v>
      </c>
      <c r="F97" s="182" t="s">
        <v>723</v>
      </c>
      <c r="G97" s="183" t="s">
        <v>872</v>
      </c>
      <c r="H97" s="182"/>
      <c r="I97" s="182" t="s">
        <v>725</v>
      </c>
      <c r="J97" s="190" t="s">
        <v>723</v>
      </c>
      <c r="K97" s="185"/>
      <c r="L97" s="185"/>
      <c r="M97" s="186"/>
      <c r="N97" s="185"/>
      <c r="O97" s="186"/>
      <c r="P97" s="186"/>
      <c r="Q97" s="196" t="s">
        <v>873</v>
      </c>
    </row>
    <row r="98" spans="1:17" s="188" customFormat="1" ht="39" customHeight="1">
      <c r="A98" s="182" t="s">
        <v>874</v>
      </c>
      <c r="B98" s="182"/>
      <c r="C98" s="191" t="s">
        <v>737</v>
      </c>
      <c r="D98" s="181"/>
      <c r="E98" s="182" t="s">
        <v>722</v>
      </c>
      <c r="F98" s="189">
        <v>0</v>
      </c>
      <c r="G98" s="237" t="s">
        <v>875</v>
      </c>
      <c r="H98" s="182"/>
      <c r="I98" s="182"/>
      <c r="J98" s="190"/>
      <c r="K98" s="186"/>
      <c r="L98" s="186"/>
      <c r="M98" s="186"/>
      <c r="N98" s="186"/>
      <c r="O98" s="186"/>
      <c r="P98" s="186"/>
      <c r="Q98" s="196"/>
    </row>
    <row r="99" spans="1:17" s="188" customFormat="1" ht="39" customHeight="1">
      <c r="A99" s="182" t="s">
        <v>172</v>
      </c>
      <c r="B99" s="182"/>
      <c r="C99" s="191"/>
      <c r="D99" s="181"/>
      <c r="E99" s="182"/>
      <c r="F99" s="189">
        <v>0</v>
      </c>
      <c r="G99" s="238" t="s">
        <v>876</v>
      </c>
      <c r="H99" s="182"/>
      <c r="I99" s="182" t="s">
        <v>725</v>
      </c>
      <c r="J99" s="190"/>
      <c r="K99" s="186"/>
      <c r="L99" s="186"/>
      <c r="M99" s="186"/>
      <c r="N99" s="186"/>
      <c r="O99" s="185"/>
      <c r="P99" s="186"/>
      <c r="Q99" s="196" t="s">
        <v>877</v>
      </c>
    </row>
    <row r="100" spans="1:17" s="188" customFormat="1" ht="37.5" customHeight="1">
      <c r="A100" s="182" t="s">
        <v>878</v>
      </c>
      <c r="B100" s="182" t="s">
        <v>751</v>
      </c>
      <c r="C100" s="181" t="s">
        <v>721</v>
      </c>
      <c r="D100" s="181" t="s">
        <v>721</v>
      </c>
      <c r="E100" s="182" t="s">
        <v>879</v>
      </c>
      <c r="F100" s="189">
        <v>0.1</v>
      </c>
      <c r="G100" s="183" t="s">
        <v>880</v>
      </c>
      <c r="H100" s="182"/>
      <c r="I100" s="182" t="s">
        <v>725</v>
      </c>
      <c r="J100" s="190" t="s">
        <v>723</v>
      </c>
      <c r="K100" s="186"/>
      <c r="L100" s="186"/>
      <c r="M100" s="186"/>
      <c r="N100" s="186"/>
      <c r="O100" s="186"/>
      <c r="P100" s="186"/>
      <c r="Q100" s="182"/>
    </row>
    <row r="101" spans="1:17" s="188" customFormat="1" ht="37.5" customHeight="1">
      <c r="A101" s="182" t="s">
        <v>881</v>
      </c>
      <c r="B101" s="182"/>
      <c r="C101" s="181"/>
      <c r="D101" s="181"/>
      <c r="E101" s="182"/>
      <c r="F101" s="189">
        <v>0</v>
      </c>
      <c r="G101" s="195" t="s">
        <v>882</v>
      </c>
      <c r="H101" s="182"/>
      <c r="I101" s="182" t="s">
        <v>725</v>
      </c>
      <c r="J101" s="190"/>
      <c r="K101" s="186"/>
      <c r="L101" s="186"/>
      <c r="M101" s="186"/>
      <c r="N101" s="186"/>
      <c r="O101" s="186"/>
      <c r="P101" s="186"/>
      <c r="Q101" s="182"/>
    </row>
    <row r="102" spans="1:17" s="188" customFormat="1" ht="24.75" customHeight="1">
      <c r="A102" s="182" t="s">
        <v>174</v>
      </c>
      <c r="B102" s="182" t="s">
        <v>720</v>
      </c>
      <c r="C102" s="181" t="s">
        <v>721</v>
      </c>
      <c r="D102" s="181" t="s">
        <v>721</v>
      </c>
      <c r="E102" s="182" t="s">
        <v>722</v>
      </c>
      <c r="F102" s="182" t="s">
        <v>723</v>
      </c>
      <c r="G102" s="182" t="s">
        <v>883</v>
      </c>
      <c r="H102" s="182"/>
      <c r="I102" s="182" t="s">
        <v>725</v>
      </c>
      <c r="J102" s="190" t="s">
        <v>723</v>
      </c>
      <c r="K102" s="186"/>
      <c r="L102" s="186"/>
      <c r="M102" s="186"/>
      <c r="N102" s="186"/>
      <c r="O102" s="186"/>
      <c r="P102" s="186"/>
      <c r="Q102" s="182"/>
    </row>
    <row r="103" spans="1:17" s="188" customFormat="1" ht="24.75" customHeight="1">
      <c r="A103" s="182" t="s">
        <v>175</v>
      </c>
      <c r="B103" s="182" t="s">
        <v>723</v>
      </c>
      <c r="C103" s="181"/>
      <c r="D103" s="181" t="s">
        <v>721</v>
      </c>
      <c r="E103" s="182"/>
      <c r="F103" s="189">
        <v>0.18</v>
      </c>
      <c r="G103" s="182"/>
      <c r="H103" s="182"/>
      <c r="I103" s="182" t="s">
        <v>725</v>
      </c>
      <c r="J103" s="190" t="s">
        <v>723</v>
      </c>
      <c r="K103" s="186"/>
      <c r="L103" s="186"/>
      <c r="M103" s="186"/>
      <c r="N103" s="186"/>
      <c r="O103" s="186"/>
      <c r="P103" s="186"/>
      <c r="Q103" s="182"/>
    </row>
    <row r="104" spans="1:17" s="188" customFormat="1" ht="24.75" customHeight="1">
      <c r="A104" s="182" t="s">
        <v>884</v>
      </c>
      <c r="B104" s="182" t="s">
        <v>720</v>
      </c>
      <c r="C104" s="181" t="s">
        <v>721</v>
      </c>
      <c r="D104" s="181" t="s">
        <v>721</v>
      </c>
      <c r="E104" s="182" t="s">
        <v>722</v>
      </c>
      <c r="F104" s="189">
        <v>0.12</v>
      </c>
      <c r="G104" s="182" t="s">
        <v>885</v>
      </c>
      <c r="H104" s="182"/>
      <c r="I104" s="182" t="s">
        <v>725</v>
      </c>
      <c r="J104" s="184">
        <v>18</v>
      </c>
      <c r="K104" s="186"/>
      <c r="L104" s="186"/>
      <c r="M104" s="185"/>
      <c r="N104" s="186"/>
      <c r="O104" s="185"/>
      <c r="P104" s="186"/>
      <c r="Q104" s="182"/>
    </row>
    <row r="105" spans="1:17" s="369" customFormat="1" ht="38.25" customHeight="1">
      <c r="A105" s="362" t="s">
        <v>886</v>
      </c>
      <c r="B105" s="362"/>
      <c r="C105" s="363"/>
      <c r="D105" s="363"/>
      <c r="E105" s="362"/>
      <c r="F105" s="364"/>
      <c r="G105" s="365" t="s">
        <v>887</v>
      </c>
      <c r="H105" s="362"/>
      <c r="I105" s="362" t="s">
        <v>725</v>
      </c>
      <c r="J105" s="366"/>
      <c r="K105" s="367"/>
      <c r="L105" s="367"/>
      <c r="M105" s="368"/>
      <c r="N105" s="367"/>
      <c r="O105" s="368"/>
      <c r="P105" s="367"/>
      <c r="Q105" s="362"/>
    </row>
    <row r="106" spans="1:17" s="188" customFormat="1" ht="33" customHeight="1">
      <c r="A106" s="182" t="s">
        <v>178</v>
      </c>
      <c r="B106" s="182"/>
      <c r="C106" s="191" t="s">
        <v>737</v>
      </c>
      <c r="D106" s="181"/>
      <c r="E106" s="182"/>
      <c r="F106" s="200">
        <v>0</v>
      </c>
      <c r="G106" s="239" t="s">
        <v>796</v>
      </c>
      <c r="H106" s="202"/>
      <c r="I106" s="182" t="s">
        <v>760</v>
      </c>
      <c r="J106" s="184"/>
      <c r="K106" s="186"/>
      <c r="L106" s="186"/>
      <c r="M106" s="185"/>
      <c r="N106" s="186"/>
      <c r="O106" s="185"/>
      <c r="P106" s="186"/>
      <c r="Q106" s="182"/>
    </row>
    <row r="107" spans="1:17" s="188" customFormat="1" ht="81" customHeight="1">
      <c r="A107" s="182" t="s">
        <v>179</v>
      </c>
      <c r="B107" s="182" t="s">
        <v>720</v>
      </c>
      <c r="C107" s="181" t="s">
        <v>721</v>
      </c>
      <c r="D107" s="181" t="s">
        <v>721</v>
      </c>
      <c r="E107" s="182" t="s">
        <v>888</v>
      </c>
      <c r="F107" s="189" t="s">
        <v>723</v>
      </c>
      <c r="G107" s="240"/>
      <c r="H107" s="182"/>
      <c r="I107" s="182" t="s">
        <v>725</v>
      </c>
      <c r="J107" s="190" t="s">
        <v>723</v>
      </c>
      <c r="K107" s="186"/>
      <c r="L107" s="186"/>
      <c r="M107" s="186"/>
      <c r="N107" s="186"/>
      <c r="O107" s="185"/>
      <c r="P107" s="186"/>
      <c r="Q107" s="182" t="s">
        <v>889</v>
      </c>
    </row>
    <row r="108" spans="1:17" s="188" customFormat="1" ht="24.75" customHeight="1">
      <c r="A108" s="182" t="s">
        <v>180</v>
      </c>
      <c r="B108" s="189" t="s">
        <v>723</v>
      </c>
      <c r="C108" s="406" t="s">
        <v>890</v>
      </c>
      <c r="D108" s="181"/>
      <c r="E108" s="182"/>
      <c r="F108" s="189">
        <v>0</v>
      </c>
      <c r="G108" s="240"/>
      <c r="H108" s="182"/>
      <c r="I108" s="182" t="s">
        <v>891</v>
      </c>
      <c r="J108" s="190"/>
      <c r="K108" s="186"/>
      <c r="L108" s="186"/>
      <c r="M108" s="186"/>
      <c r="N108" s="186"/>
      <c r="O108" s="185"/>
      <c r="P108" s="186"/>
      <c r="Q108" s="182"/>
    </row>
    <row r="109" spans="1:17" s="188" customFormat="1" ht="24.75" customHeight="1">
      <c r="A109" s="182" t="s">
        <v>892</v>
      </c>
      <c r="B109" s="182" t="s">
        <v>736</v>
      </c>
      <c r="C109" s="181" t="s">
        <v>721</v>
      </c>
      <c r="D109" s="191" t="s">
        <v>737</v>
      </c>
      <c r="E109" s="182" t="s">
        <v>722</v>
      </c>
      <c r="F109" s="189" t="s">
        <v>723</v>
      </c>
      <c r="G109" s="183" t="s">
        <v>893</v>
      </c>
      <c r="H109" s="182" t="s">
        <v>796</v>
      </c>
      <c r="I109" s="182" t="s">
        <v>725</v>
      </c>
      <c r="J109" s="184">
        <v>26</v>
      </c>
      <c r="K109" s="185"/>
      <c r="L109" s="185"/>
      <c r="M109" s="185"/>
      <c r="N109" s="185"/>
      <c r="O109" s="185"/>
      <c r="P109" s="186"/>
      <c r="Q109" s="182" t="s">
        <v>894</v>
      </c>
    </row>
    <row r="110" spans="1:17" s="188" customFormat="1" ht="24.75" customHeight="1">
      <c r="A110" s="183" t="s">
        <v>895</v>
      </c>
      <c r="B110" s="182" t="s">
        <v>896</v>
      </c>
      <c r="C110" s="181"/>
      <c r="D110" s="181" t="s">
        <v>721</v>
      </c>
      <c r="E110" s="182"/>
      <c r="F110" s="189" t="s">
        <v>723</v>
      </c>
      <c r="G110" s="218" t="s">
        <v>897</v>
      </c>
      <c r="H110" s="182"/>
      <c r="I110" s="182" t="s">
        <v>725</v>
      </c>
      <c r="J110" s="190" t="s">
        <v>723</v>
      </c>
      <c r="K110" s="186"/>
      <c r="L110" s="186"/>
      <c r="M110" s="186"/>
      <c r="N110" s="186"/>
      <c r="O110" s="186"/>
      <c r="P110" s="186"/>
      <c r="Q110" s="182" t="s">
        <v>898</v>
      </c>
    </row>
    <row r="111" spans="1:17" s="188" customFormat="1" ht="24.75" customHeight="1">
      <c r="A111" s="182" t="s">
        <v>182</v>
      </c>
      <c r="B111" s="182" t="s">
        <v>720</v>
      </c>
      <c r="C111" s="181" t="s">
        <v>721</v>
      </c>
      <c r="D111" s="181" t="s">
        <v>721</v>
      </c>
      <c r="E111" s="194">
        <v>250</v>
      </c>
      <c r="F111" s="189">
        <v>0.15</v>
      </c>
      <c r="G111" s="183" t="s">
        <v>899</v>
      </c>
      <c r="H111" s="182"/>
      <c r="I111" s="182" t="s">
        <v>725</v>
      </c>
      <c r="J111" s="190" t="s">
        <v>723</v>
      </c>
      <c r="K111" s="186"/>
      <c r="L111" s="186"/>
      <c r="M111" s="186"/>
      <c r="N111" s="186"/>
      <c r="O111" s="186"/>
      <c r="P111" s="186"/>
      <c r="Q111" s="182"/>
    </row>
    <row r="112" spans="1:17" s="188" customFormat="1" ht="24.75" customHeight="1">
      <c r="A112" s="182" t="s">
        <v>184</v>
      </c>
      <c r="B112" s="182" t="s">
        <v>736</v>
      </c>
      <c r="C112" s="181" t="s">
        <v>721</v>
      </c>
      <c r="D112" s="191" t="s">
        <v>737</v>
      </c>
      <c r="E112" s="182" t="s">
        <v>722</v>
      </c>
      <c r="F112" s="189">
        <v>0.1</v>
      </c>
      <c r="G112" s="182" t="s">
        <v>796</v>
      </c>
      <c r="H112" s="182" t="s">
        <v>796</v>
      </c>
      <c r="I112" s="182" t="s">
        <v>725</v>
      </c>
      <c r="J112" s="190" t="s">
        <v>723</v>
      </c>
      <c r="K112" s="186"/>
      <c r="L112" s="186"/>
      <c r="M112" s="186"/>
      <c r="N112" s="186"/>
      <c r="O112" s="186"/>
      <c r="P112" s="186"/>
      <c r="Q112" s="182" t="s">
        <v>900</v>
      </c>
    </row>
    <row r="113" spans="1:17" s="188" customFormat="1" ht="24.75" customHeight="1">
      <c r="A113" s="182" t="s">
        <v>185</v>
      </c>
      <c r="B113" s="182" t="s">
        <v>720</v>
      </c>
      <c r="C113" s="191" t="s">
        <v>737</v>
      </c>
      <c r="D113" s="181" t="s">
        <v>721</v>
      </c>
      <c r="E113" s="182" t="s">
        <v>722</v>
      </c>
      <c r="F113" s="219">
        <v>0.14399999999999999</v>
      </c>
      <c r="G113" s="183" t="s">
        <v>796</v>
      </c>
      <c r="H113" s="182"/>
      <c r="I113" s="182" t="s">
        <v>725</v>
      </c>
      <c r="J113" s="190"/>
      <c r="K113" s="186"/>
      <c r="L113" s="186"/>
      <c r="M113" s="186"/>
      <c r="N113" s="186"/>
      <c r="O113" s="186"/>
      <c r="P113" s="186"/>
      <c r="Q113" s="182"/>
    </row>
    <row r="114" spans="1:17" s="188" customFormat="1" ht="32.25" customHeight="1">
      <c r="A114" s="182" t="s">
        <v>186</v>
      </c>
      <c r="B114" s="182" t="s">
        <v>720</v>
      </c>
      <c r="C114" s="191"/>
      <c r="D114" s="181"/>
      <c r="E114" s="194">
        <v>250</v>
      </c>
      <c r="F114" s="189">
        <v>0</v>
      </c>
      <c r="G114" s="197" t="s">
        <v>901</v>
      </c>
      <c r="H114" s="182"/>
      <c r="I114" s="182" t="s">
        <v>725</v>
      </c>
      <c r="J114" s="190"/>
      <c r="K114" s="186"/>
      <c r="L114" s="186"/>
      <c r="M114" s="186"/>
      <c r="N114" s="186"/>
      <c r="O114" s="185"/>
      <c r="P114" s="186"/>
      <c r="Q114" s="182" t="s">
        <v>902</v>
      </c>
    </row>
    <row r="115" spans="1:17" s="188" customFormat="1" ht="24.75" customHeight="1">
      <c r="A115" s="182" t="s">
        <v>187</v>
      </c>
      <c r="B115" s="182" t="s">
        <v>720</v>
      </c>
      <c r="C115" s="181" t="s">
        <v>721</v>
      </c>
      <c r="D115" s="181" t="s">
        <v>721</v>
      </c>
      <c r="E115" s="182" t="s">
        <v>722</v>
      </c>
      <c r="F115" s="189">
        <v>0.1</v>
      </c>
      <c r="G115" s="182"/>
      <c r="H115" s="182"/>
      <c r="I115" s="182" t="s">
        <v>725</v>
      </c>
      <c r="J115" s="190" t="s">
        <v>723</v>
      </c>
      <c r="K115" s="186"/>
      <c r="L115" s="186"/>
      <c r="M115" s="186"/>
      <c r="N115" s="186"/>
      <c r="O115" s="186"/>
      <c r="P115" s="186"/>
      <c r="Q115" s="182"/>
    </row>
    <row r="116" spans="1:17" s="188" customFormat="1" ht="24.75" customHeight="1">
      <c r="A116" s="182" t="s">
        <v>903</v>
      </c>
      <c r="B116" s="182" t="s">
        <v>736</v>
      </c>
      <c r="C116" s="181" t="s">
        <v>721</v>
      </c>
      <c r="D116" s="191" t="s">
        <v>737</v>
      </c>
      <c r="E116" s="182" t="s">
        <v>722</v>
      </c>
      <c r="F116" s="189" t="s">
        <v>723</v>
      </c>
      <c r="G116" s="182" t="s">
        <v>796</v>
      </c>
      <c r="H116" s="182" t="s">
        <v>796</v>
      </c>
      <c r="I116" s="182" t="s">
        <v>725</v>
      </c>
      <c r="J116" s="190" t="s">
        <v>723</v>
      </c>
      <c r="K116" s="186"/>
      <c r="L116" s="186"/>
      <c r="M116" s="186"/>
      <c r="N116" s="186"/>
      <c r="O116" s="186"/>
      <c r="P116" s="186"/>
      <c r="Q116" s="182"/>
    </row>
    <row r="117" spans="1:17" s="188" customFormat="1" ht="24.75" customHeight="1">
      <c r="A117" s="182" t="s">
        <v>904</v>
      </c>
      <c r="B117" s="182" t="s">
        <v>720</v>
      </c>
      <c r="C117" s="191" t="s">
        <v>737</v>
      </c>
      <c r="D117" s="181" t="s">
        <v>721</v>
      </c>
      <c r="E117" s="182" t="s">
        <v>722</v>
      </c>
      <c r="F117" s="189" t="s">
        <v>723</v>
      </c>
      <c r="G117" s="195" t="s">
        <v>905</v>
      </c>
      <c r="H117" s="182"/>
      <c r="I117" s="182" t="s">
        <v>725</v>
      </c>
      <c r="J117" s="190"/>
      <c r="K117" s="186"/>
      <c r="L117" s="186"/>
      <c r="M117" s="186"/>
      <c r="N117" s="186"/>
      <c r="O117" s="186"/>
      <c r="P117" s="186"/>
      <c r="Q117" s="182"/>
    </row>
    <row r="118" spans="1:17" s="188" customFormat="1" ht="24.75" customHeight="1">
      <c r="A118" s="182" t="s">
        <v>906</v>
      </c>
      <c r="B118" s="182"/>
      <c r="C118" s="181" t="s">
        <v>721</v>
      </c>
      <c r="D118" s="181"/>
      <c r="E118" s="182"/>
      <c r="F118" s="200">
        <v>0</v>
      </c>
      <c r="G118" s="239" t="s">
        <v>907</v>
      </c>
      <c r="H118" s="202"/>
      <c r="I118" s="182"/>
      <c r="J118" s="190"/>
      <c r="K118" s="186"/>
      <c r="L118" s="186"/>
      <c r="M118" s="186"/>
      <c r="N118" s="186"/>
      <c r="O118" s="186"/>
      <c r="P118" s="186"/>
      <c r="Q118" s="182"/>
    </row>
    <row r="119" spans="1:17" s="188" customFormat="1" ht="24.75" customHeight="1">
      <c r="A119" s="182" t="s">
        <v>189</v>
      </c>
      <c r="B119" s="182" t="s">
        <v>723</v>
      </c>
      <c r="C119" s="181" t="s">
        <v>721</v>
      </c>
      <c r="D119" s="181" t="s">
        <v>721</v>
      </c>
      <c r="E119" s="182" t="s">
        <v>722</v>
      </c>
      <c r="F119" s="189" t="s">
        <v>723</v>
      </c>
      <c r="G119" s="240"/>
      <c r="H119" s="182"/>
      <c r="I119" s="182" t="s">
        <v>725</v>
      </c>
      <c r="J119" s="190" t="s">
        <v>723</v>
      </c>
      <c r="K119" s="186"/>
      <c r="L119" s="186"/>
      <c r="M119" s="186"/>
      <c r="N119" s="186"/>
      <c r="O119" s="186"/>
      <c r="P119" s="186"/>
      <c r="Q119" s="182"/>
    </row>
    <row r="120" spans="1:17" s="188" customFormat="1" ht="24.75" customHeight="1">
      <c r="A120" s="182" t="s">
        <v>190</v>
      </c>
      <c r="B120" s="182" t="s">
        <v>736</v>
      </c>
      <c r="C120" s="181" t="s">
        <v>721</v>
      </c>
      <c r="D120" s="191" t="s">
        <v>737</v>
      </c>
      <c r="E120" s="182" t="s">
        <v>722</v>
      </c>
      <c r="F120" s="189">
        <v>0.15</v>
      </c>
      <c r="G120" s="183" t="s">
        <v>908</v>
      </c>
      <c r="H120" s="182" t="s">
        <v>796</v>
      </c>
      <c r="I120" s="182" t="s">
        <v>725</v>
      </c>
      <c r="J120" s="184">
        <v>17</v>
      </c>
      <c r="K120" s="185"/>
      <c r="L120" s="185"/>
      <c r="M120" s="185"/>
      <c r="N120" s="185"/>
      <c r="O120" s="185"/>
      <c r="P120" s="186"/>
      <c r="Q120" s="182"/>
    </row>
    <row r="121" spans="1:17" s="188" customFormat="1" ht="24.75" customHeight="1">
      <c r="A121" s="182" t="s">
        <v>909</v>
      </c>
      <c r="B121" s="182" t="s">
        <v>751</v>
      </c>
      <c r="C121" s="181" t="s">
        <v>721</v>
      </c>
      <c r="D121" s="191"/>
      <c r="E121" s="182"/>
      <c r="F121" s="189">
        <v>0</v>
      </c>
      <c r="G121" s="241"/>
      <c r="H121" s="182"/>
      <c r="I121" s="182" t="s">
        <v>725</v>
      </c>
      <c r="J121" s="184"/>
      <c r="K121" s="186"/>
      <c r="L121" s="186"/>
      <c r="M121" s="186"/>
      <c r="N121" s="186"/>
      <c r="O121" s="186"/>
      <c r="P121" s="186"/>
      <c r="Q121" s="182"/>
    </row>
    <row r="122" spans="1:17" s="188" customFormat="1" ht="45" customHeight="1">
      <c r="A122" s="182" t="s">
        <v>191</v>
      </c>
      <c r="B122" s="182" t="s">
        <v>751</v>
      </c>
      <c r="C122" s="181" t="s">
        <v>721</v>
      </c>
      <c r="D122" s="191"/>
      <c r="E122" s="182"/>
      <c r="F122" s="200">
        <v>0</v>
      </c>
      <c r="G122" s="242" t="s">
        <v>910</v>
      </c>
      <c r="H122" s="202"/>
      <c r="I122" s="182" t="s">
        <v>725</v>
      </c>
      <c r="J122" s="184"/>
      <c r="K122" s="185"/>
      <c r="L122" s="185"/>
      <c r="M122" s="186"/>
      <c r="N122" s="186"/>
      <c r="O122" s="186"/>
      <c r="P122" s="186"/>
      <c r="Q122" s="182" t="s">
        <v>911</v>
      </c>
    </row>
    <row r="123" spans="1:17" s="188" customFormat="1" ht="45" customHeight="1">
      <c r="A123" s="182" t="s">
        <v>912</v>
      </c>
      <c r="B123" s="182"/>
      <c r="C123" s="181"/>
      <c r="D123" s="191"/>
      <c r="E123" s="182"/>
      <c r="F123" s="189">
        <v>0</v>
      </c>
      <c r="G123" s="243" t="s">
        <v>913</v>
      </c>
      <c r="H123" s="182"/>
      <c r="I123" s="182" t="s">
        <v>725</v>
      </c>
      <c r="J123" s="184"/>
      <c r="K123" s="185"/>
      <c r="L123" s="185"/>
      <c r="M123" s="186"/>
      <c r="N123" s="186"/>
      <c r="O123" s="186"/>
      <c r="P123" s="186"/>
      <c r="Q123" s="182"/>
    </row>
    <row r="124" spans="1:17" s="188" customFormat="1" ht="24.75" customHeight="1">
      <c r="A124" s="182" t="s">
        <v>914</v>
      </c>
      <c r="B124" s="182" t="s">
        <v>751</v>
      </c>
      <c r="C124" s="181" t="s">
        <v>721</v>
      </c>
      <c r="D124" s="191"/>
      <c r="E124" s="182"/>
      <c r="F124" s="189">
        <v>0</v>
      </c>
      <c r="G124" s="183"/>
      <c r="H124" s="182"/>
      <c r="I124" s="182" t="s">
        <v>725</v>
      </c>
      <c r="J124" s="184"/>
      <c r="K124" s="186"/>
      <c r="L124" s="186"/>
      <c r="M124" s="186"/>
      <c r="N124" s="186"/>
      <c r="O124" s="186"/>
      <c r="P124" s="186"/>
      <c r="Q124" s="182"/>
    </row>
    <row r="125" spans="1:17" s="188" customFormat="1" ht="62.25" customHeight="1">
      <c r="A125" s="236" t="s">
        <v>915</v>
      </c>
      <c r="B125" s="182" t="s">
        <v>720</v>
      </c>
      <c r="C125" s="191" t="s">
        <v>737</v>
      </c>
      <c r="D125" s="181" t="s">
        <v>721</v>
      </c>
      <c r="E125" s="182" t="s">
        <v>722</v>
      </c>
      <c r="F125" s="189" t="s">
        <v>723</v>
      </c>
      <c r="G125" s="244" t="s">
        <v>916</v>
      </c>
      <c r="H125" s="182"/>
      <c r="I125" s="182" t="s">
        <v>725</v>
      </c>
      <c r="J125" s="184">
        <v>50</v>
      </c>
      <c r="K125" s="456" t="s">
        <v>917</v>
      </c>
      <c r="L125" s="457"/>
      <c r="M125" s="457"/>
      <c r="N125" s="457"/>
      <c r="O125" s="458"/>
      <c r="P125" s="186"/>
      <c r="Q125" s="196" t="s">
        <v>918</v>
      </c>
    </row>
    <row r="126" spans="1:17" s="188" customFormat="1" ht="62.25" customHeight="1">
      <c r="A126" s="236" t="s">
        <v>919</v>
      </c>
      <c r="B126" s="182" t="s">
        <v>751</v>
      </c>
      <c r="C126" s="181" t="s">
        <v>721</v>
      </c>
      <c r="D126" s="181"/>
      <c r="E126" s="182"/>
      <c r="F126" s="189">
        <v>0</v>
      </c>
      <c r="G126" s="244"/>
      <c r="H126" s="182"/>
      <c r="I126" s="182" t="s">
        <v>725</v>
      </c>
      <c r="J126" s="184"/>
      <c r="K126" s="186"/>
      <c r="L126" s="186"/>
      <c r="M126" s="186"/>
      <c r="N126" s="186"/>
      <c r="O126" s="186"/>
      <c r="P126" s="186"/>
      <c r="Q126" s="196"/>
    </row>
    <row r="127" spans="1:17" s="188" customFormat="1" ht="24.75" customHeight="1">
      <c r="A127" s="182" t="s">
        <v>920</v>
      </c>
      <c r="B127" s="182" t="s">
        <v>723</v>
      </c>
      <c r="C127" s="181" t="s">
        <v>721</v>
      </c>
      <c r="D127" s="181" t="s">
        <v>721</v>
      </c>
      <c r="E127" s="182" t="s">
        <v>722</v>
      </c>
      <c r="F127" s="189">
        <v>0.1</v>
      </c>
      <c r="G127" s="182"/>
      <c r="H127" s="182"/>
      <c r="I127" s="182" t="s">
        <v>725</v>
      </c>
      <c r="J127" s="190" t="s">
        <v>723</v>
      </c>
      <c r="K127" s="186"/>
      <c r="L127" s="186"/>
      <c r="M127" s="186"/>
      <c r="N127" s="186"/>
      <c r="O127" s="186"/>
      <c r="P127" s="186"/>
      <c r="Q127" s="182"/>
    </row>
    <row r="128" spans="1:17" s="188" customFormat="1" ht="24.75" customHeight="1">
      <c r="A128" s="182" t="s">
        <v>921</v>
      </c>
      <c r="B128" s="182" t="s">
        <v>720</v>
      </c>
      <c r="C128" s="181"/>
      <c r="D128" s="181" t="s">
        <v>721</v>
      </c>
      <c r="E128" s="182"/>
      <c r="F128" s="189"/>
      <c r="G128" s="186" t="s">
        <v>922</v>
      </c>
      <c r="H128" s="182"/>
      <c r="I128" s="182" t="s">
        <v>725</v>
      </c>
      <c r="J128" s="190" t="s">
        <v>723</v>
      </c>
      <c r="K128" s="186"/>
      <c r="L128" s="186"/>
      <c r="M128" s="186"/>
      <c r="N128" s="186"/>
      <c r="O128" s="186"/>
      <c r="P128" s="186"/>
      <c r="Q128" s="182"/>
    </row>
    <row r="129" spans="1:17" s="188" customFormat="1" ht="24.75" customHeight="1">
      <c r="A129" s="182" t="s">
        <v>923</v>
      </c>
      <c r="B129" s="182"/>
      <c r="C129" s="181"/>
      <c r="D129" s="181"/>
      <c r="E129" s="182"/>
      <c r="F129" s="189"/>
      <c r="G129" s="186"/>
      <c r="H129" s="182"/>
      <c r="I129" s="182" t="s">
        <v>725</v>
      </c>
      <c r="J129" s="190"/>
      <c r="K129" s="186"/>
      <c r="L129" s="186"/>
      <c r="M129" s="186"/>
      <c r="N129" s="186"/>
      <c r="O129" s="186"/>
      <c r="P129" s="186"/>
      <c r="Q129" s="182"/>
    </row>
    <row r="130" spans="1:17" s="188" customFormat="1" ht="24.75" customHeight="1">
      <c r="A130" s="182" t="s">
        <v>924</v>
      </c>
      <c r="B130" s="182"/>
      <c r="C130" s="181"/>
      <c r="D130" s="181"/>
      <c r="E130" s="182"/>
      <c r="F130" s="189"/>
      <c r="G130" s="186"/>
      <c r="H130" s="182"/>
      <c r="I130" s="182" t="s">
        <v>725</v>
      </c>
      <c r="J130" s="245"/>
      <c r="K130" s="186"/>
      <c r="L130" s="186"/>
      <c r="M130" s="186"/>
      <c r="N130" s="186"/>
      <c r="O130" s="186"/>
      <c r="P130" s="186"/>
      <c r="Q130" s="182" t="s">
        <v>925</v>
      </c>
    </row>
    <row r="131" spans="1:17" s="188" customFormat="1" ht="24.75" customHeight="1">
      <c r="A131" s="182" t="s">
        <v>926</v>
      </c>
      <c r="B131" s="182" t="s">
        <v>736</v>
      </c>
      <c r="C131" s="181" t="s">
        <v>721</v>
      </c>
      <c r="D131" s="181"/>
      <c r="E131" s="182" t="s">
        <v>722</v>
      </c>
      <c r="F131" s="189">
        <v>0.1</v>
      </c>
      <c r="G131" s="182"/>
      <c r="H131" s="182"/>
      <c r="I131" s="182" t="s">
        <v>725</v>
      </c>
      <c r="J131" s="245"/>
      <c r="K131" s="186"/>
      <c r="L131" s="186"/>
      <c r="M131" s="186"/>
      <c r="N131" s="186"/>
      <c r="O131" s="186"/>
      <c r="P131" s="186"/>
      <c r="Q131" s="182"/>
    </row>
    <row r="132" spans="1:17" s="188" customFormat="1" ht="60">
      <c r="A132" s="182" t="s">
        <v>194</v>
      </c>
      <c r="B132" s="182" t="s">
        <v>927</v>
      </c>
      <c r="C132" s="191" t="s">
        <v>737</v>
      </c>
      <c r="D132" s="181" t="s">
        <v>721</v>
      </c>
      <c r="E132" s="182" t="s">
        <v>723</v>
      </c>
      <c r="F132" s="189">
        <v>0</v>
      </c>
      <c r="G132" s="372" t="s">
        <v>928</v>
      </c>
      <c r="H132" s="182"/>
      <c r="I132" s="182" t="s">
        <v>725</v>
      </c>
      <c r="J132" s="184">
        <v>23</v>
      </c>
      <c r="K132" s="182"/>
      <c r="L132" s="182"/>
      <c r="M132" s="182"/>
      <c r="N132" s="246"/>
      <c r="O132" s="182"/>
      <c r="P132" s="186"/>
      <c r="Q132" s="182" t="s">
        <v>929</v>
      </c>
    </row>
    <row r="133" spans="1:17" s="188" customFormat="1" ht="24.75" customHeight="1">
      <c r="A133" s="182" t="s">
        <v>930</v>
      </c>
      <c r="B133" s="182"/>
      <c r="C133" s="181"/>
      <c r="D133" s="181" t="s">
        <v>721</v>
      </c>
      <c r="E133" s="182"/>
      <c r="F133" s="189">
        <v>0</v>
      </c>
      <c r="G133" s="183" t="s">
        <v>931</v>
      </c>
      <c r="H133" s="182"/>
      <c r="I133" s="182" t="s">
        <v>725</v>
      </c>
      <c r="J133" s="190" t="s">
        <v>723</v>
      </c>
      <c r="K133" s="186"/>
      <c r="L133" s="186"/>
      <c r="M133" s="186"/>
      <c r="N133" s="186"/>
      <c r="O133" s="186"/>
      <c r="P133" s="186"/>
      <c r="Q133" s="182"/>
    </row>
    <row r="134" spans="1:17" s="188" customFormat="1" ht="24.75" customHeight="1">
      <c r="A134" s="182" t="s">
        <v>932</v>
      </c>
      <c r="B134" s="182"/>
      <c r="C134" s="181" t="s">
        <v>721</v>
      </c>
      <c r="D134" s="181" t="s">
        <v>721</v>
      </c>
      <c r="E134" s="182"/>
      <c r="F134" s="189">
        <v>0.1</v>
      </c>
      <c r="G134" s="182"/>
      <c r="H134" s="182"/>
      <c r="I134" s="182" t="s">
        <v>725</v>
      </c>
      <c r="J134" s="190" t="s">
        <v>723</v>
      </c>
      <c r="K134" s="186"/>
      <c r="L134" s="186"/>
      <c r="M134" s="186"/>
      <c r="N134" s="186"/>
      <c r="O134" s="186"/>
      <c r="P134" s="186"/>
      <c r="Q134" s="182"/>
    </row>
    <row r="135" spans="1:17" s="188" customFormat="1" ht="24.75" customHeight="1">
      <c r="A135" s="182" t="s">
        <v>933</v>
      </c>
      <c r="B135" s="182"/>
      <c r="C135" s="181"/>
      <c r="D135" s="181"/>
      <c r="E135" s="182"/>
      <c r="F135" s="189"/>
      <c r="G135" s="182"/>
      <c r="H135" s="182"/>
      <c r="I135" s="182" t="s">
        <v>725</v>
      </c>
      <c r="J135" s="190"/>
      <c r="K135" s="186"/>
      <c r="L135" s="186"/>
      <c r="M135" s="186"/>
      <c r="N135" s="186"/>
      <c r="O135" s="186"/>
      <c r="P135" s="186"/>
      <c r="Q135" s="182"/>
    </row>
    <row r="136" spans="1:17" s="188" customFormat="1" ht="24.75" customHeight="1">
      <c r="A136" s="182" t="s">
        <v>934</v>
      </c>
      <c r="B136" s="182" t="s">
        <v>720</v>
      </c>
      <c r="C136" s="181" t="s">
        <v>721</v>
      </c>
      <c r="D136" s="181"/>
      <c r="E136" s="182"/>
      <c r="F136" s="189">
        <v>0</v>
      </c>
      <c r="G136" s="182"/>
      <c r="H136" s="182"/>
      <c r="I136" s="182" t="s">
        <v>725</v>
      </c>
      <c r="J136" s="190"/>
      <c r="K136" s="186"/>
      <c r="L136" s="186"/>
      <c r="M136" s="186"/>
      <c r="N136" s="186"/>
      <c r="O136" s="186"/>
      <c r="P136" s="186"/>
      <c r="Q136" s="182"/>
    </row>
    <row r="137" spans="1:17" s="188" customFormat="1" ht="24.75" customHeight="1">
      <c r="A137" s="182" t="s">
        <v>197</v>
      </c>
      <c r="B137" s="182"/>
      <c r="C137" s="181" t="s">
        <v>721</v>
      </c>
      <c r="D137" s="181" t="s">
        <v>721</v>
      </c>
      <c r="E137" s="182"/>
      <c r="F137" s="189">
        <v>0</v>
      </c>
      <c r="G137" s="182"/>
      <c r="H137" s="182"/>
      <c r="I137" s="182"/>
      <c r="J137" s="190"/>
      <c r="K137" s="186"/>
      <c r="L137" s="186"/>
      <c r="M137" s="186"/>
      <c r="N137" s="186"/>
      <c r="O137" s="186"/>
      <c r="P137" s="186"/>
      <c r="Q137" s="182"/>
    </row>
    <row r="138" spans="1:17" s="188" customFormat="1" ht="31.5" customHeight="1">
      <c r="A138" s="182" t="s">
        <v>935</v>
      </c>
      <c r="B138" s="182"/>
      <c r="C138" s="181" t="s">
        <v>721</v>
      </c>
      <c r="D138" s="181" t="s">
        <v>721</v>
      </c>
      <c r="E138" s="182"/>
      <c r="F138" s="189">
        <v>0</v>
      </c>
      <c r="G138" s="183" t="s">
        <v>936</v>
      </c>
      <c r="H138" s="182"/>
      <c r="I138" s="182" t="s">
        <v>725</v>
      </c>
      <c r="J138" s="190" t="s">
        <v>723</v>
      </c>
      <c r="K138" s="186"/>
      <c r="L138" s="186"/>
      <c r="M138" s="186"/>
      <c r="N138" s="186"/>
      <c r="O138" s="186"/>
      <c r="P138" s="186"/>
      <c r="Q138" s="182"/>
    </row>
    <row r="139" spans="1:17" s="188" customFormat="1" ht="33" customHeight="1">
      <c r="A139" s="182" t="s">
        <v>198</v>
      </c>
      <c r="B139" s="182" t="s">
        <v>723</v>
      </c>
      <c r="C139" s="181" t="s">
        <v>721</v>
      </c>
      <c r="D139" s="181" t="s">
        <v>721</v>
      </c>
      <c r="E139" s="182" t="s">
        <v>722</v>
      </c>
      <c r="F139" s="189">
        <v>0.15</v>
      </c>
      <c r="G139" s="195" t="s">
        <v>937</v>
      </c>
      <c r="H139" s="182"/>
      <c r="I139" s="182" t="s">
        <v>725</v>
      </c>
      <c r="J139" s="190" t="s">
        <v>723</v>
      </c>
      <c r="K139" s="456" t="s">
        <v>938</v>
      </c>
      <c r="L139" s="457"/>
      <c r="M139" s="457"/>
      <c r="N139" s="457"/>
      <c r="O139" s="458"/>
      <c r="P139" s="186"/>
      <c r="Q139" s="182"/>
    </row>
    <row r="140" spans="1:17" s="188" customFormat="1" ht="24.95" customHeight="1">
      <c r="A140" s="182" t="s">
        <v>199</v>
      </c>
      <c r="B140" s="182" t="s">
        <v>723</v>
      </c>
      <c r="C140" s="181" t="s">
        <v>721</v>
      </c>
      <c r="D140" s="181" t="s">
        <v>721</v>
      </c>
      <c r="E140" s="182" t="s">
        <v>722</v>
      </c>
      <c r="F140" s="189">
        <v>0.15</v>
      </c>
      <c r="G140" s="182"/>
      <c r="H140" s="182"/>
      <c r="I140" s="182" t="s">
        <v>725</v>
      </c>
      <c r="J140" s="190" t="s">
        <v>723</v>
      </c>
      <c r="K140" s="186"/>
      <c r="L140" s="186"/>
      <c r="M140" s="186"/>
      <c r="N140" s="186"/>
      <c r="O140" s="186"/>
      <c r="P140" s="186"/>
      <c r="Q140" s="182"/>
    </row>
    <row r="141" spans="1:17" s="188" customFormat="1" ht="24.95" customHeight="1">
      <c r="A141" s="182" t="s">
        <v>939</v>
      </c>
      <c r="B141" s="186" t="s">
        <v>720</v>
      </c>
      <c r="C141" s="181" t="s">
        <v>721</v>
      </c>
      <c r="D141" s="181" t="s">
        <v>721</v>
      </c>
      <c r="E141" s="182" t="s">
        <v>722</v>
      </c>
      <c r="F141" s="247">
        <v>0.12</v>
      </c>
      <c r="G141" s="186"/>
      <c r="H141" s="186"/>
      <c r="I141" s="182" t="s">
        <v>725</v>
      </c>
      <c r="J141" s="190" t="s">
        <v>723</v>
      </c>
      <c r="K141" s="186"/>
      <c r="L141" s="186"/>
      <c r="M141" s="186"/>
      <c r="N141" s="186"/>
      <c r="O141" s="186"/>
      <c r="P141" s="186"/>
      <c r="Q141" s="186"/>
    </row>
  </sheetData>
  <sheetProtection algorithmName="SHA-512" hashValue="v9VsgNF6gjZPfKGXl0ljgoGlbLXeXPKn9UlXiiRtH+xioEBaYCbW758O37aftuiIcjT3UmWs9OamZRtyGESYUg==" saltValue="kH8le6lCduH39TsXFgNNjw==" spinCount="100000" sheet="1" objects="1" scenarios="1"/>
  <autoFilter ref="A3:Q141" xr:uid="{1E1AA77E-102E-4794-B000-5E448D266CEF}">
    <sortState xmlns:xlrd2="http://schemas.microsoft.com/office/spreadsheetml/2017/richdata2" ref="A6:Q141">
      <sortCondition ref="A3:A141"/>
    </sortState>
  </autoFilter>
  <mergeCells count="19">
    <mergeCell ref="K139:O139"/>
    <mergeCell ref="K22:O22"/>
    <mergeCell ref="K23:O23"/>
    <mergeCell ref="K48:O48"/>
    <mergeCell ref="K60:O60"/>
    <mergeCell ref="K63:O63"/>
    <mergeCell ref="K125:O125"/>
    <mergeCell ref="Q3:Q4"/>
    <mergeCell ref="A3:A4"/>
    <mergeCell ref="B3:B4"/>
    <mergeCell ref="C3:C4"/>
    <mergeCell ref="D3:D4"/>
    <mergeCell ref="E3:E4"/>
    <mergeCell ref="F3:F4"/>
    <mergeCell ref="G3:G4"/>
    <mergeCell ref="H3:H4"/>
    <mergeCell ref="I3:I4"/>
    <mergeCell ref="J3:J4"/>
    <mergeCell ref="K3:O3"/>
  </mergeCells>
  <phoneticPr fontId="6" type="noConversion"/>
  <hyperlinks>
    <hyperlink ref="G39" r:id="rId1" xr:uid="{239C7674-19F4-4BD1-811A-992E6C52069E}"/>
  </hyperlinks>
  <pageMargins left="0.25" right="0.25" top="0.75" bottom="0.75" header="0.3" footer="0.3"/>
  <pageSetup paperSize="9" scale="46"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4B16-748A-4F04-BCCF-7BBCA73FC519}">
  <sheetPr codeName="Sheet2"/>
  <dimension ref="A1:G20"/>
  <sheetViews>
    <sheetView workbookViewId="0">
      <selection activeCell="H30" sqref="H30"/>
    </sheetView>
  </sheetViews>
  <sheetFormatPr defaultColWidth="9.140625" defaultRowHeight="15"/>
  <cols>
    <col min="1" max="16384" width="9.140625" style="1"/>
  </cols>
  <sheetData>
    <row r="1" spans="1:7" ht="17.25">
      <c r="A1" s="468" t="s">
        <v>940</v>
      </c>
      <c r="B1" s="468"/>
      <c r="C1" s="468"/>
    </row>
    <row r="3" spans="1:7" ht="14.1" customHeight="1">
      <c r="A3" s="2" t="s">
        <v>941</v>
      </c>
    </row>
    <row r="4" spans="1:7">
      <c r="A4" t="s">
        <v>942</v>
      </c>
    </row>
    <row r="6" spans="1:7">
      <c r="A6" s="2" t="s">
        <v>943</v>
      </c>
    </row>
    <row r="7" spans="1:7">
      <c r="A7" t="s">
        <v>944</v>
      </c>
      <c r="G7" s="3"/>
    </row>
    <row r="8" spans="1:7">
      <c r="A8" s="3"/>
      <c r="G8" s="3"/>
    </row>
    <row r="9" spans="1:7">
      <c r="A9" s="4" t="s">
        <v>945</v>
      </c>
      <c r="G9" s="4" t="s">
        <v>945</v>
      </c>
    </row>
    <row r="10" spans="1:7">
      <c r="A10" s="3"/>
      <c r="G10" s="3"/>
    </row>
    <row r="11" spans="1:7">
      <c r="A11" s="3" t="s">
        <v>946</v>
      </c>
      <c r="G11" s="3"/>
    </row>
    <row r="12" spans="1:7">
      <c r="A12" s="3"/>
      <c r="G12" s="3"/>
    </row>
    <row r="13" spans="1:7">
      <c r="A13" s="3" t="s">
        <v>947</v>
      </c>
      <c r="G13" s="3"/>
    </row>
    <row r="15" spans="1:7">
      <c r="A15" s="5" t="s">
        <v>948</v>
      </c>
    </row>
    <row r="16" spans="1:7">
      <c r="A16" s="3" t="s">
        <v>949</v>
      </c>
    </row>
    <row r="17" spans="1:1">
      <c r="A17" s="3"/>
    </row>
    <row r="18" spans="1:1">
      <c r="A18" s="3" t="s">
        <v>950</v>
      </c>
    </row>
    <row r="19" spans="1:1">
      <c r="A19" s="3"/>
    </row>
    <row r="20" spans="1:1">
      <c r="A20" s="3" t="s">
        <v>947</v>
      </c>
    </row>
  </sheetData>
  <mergeCells count="1">
    <mergeCell ref="A1:C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761D-F251-4A0B-811C-0981C9823092}">
  <dimension ref="B2:D21"/>
  <sheetViews>
    <sheetView topLeftCell="A3" zoomScale="85" zoomScaleNormal="85" workbookViewId="0">
      <selection activeCell="D22" sqref="D22"/>
    </sheetView>
  </sheetViews>
  <sheetFormatPr defaultColWidth="8.7109375" defaultRowHeight="15"/>
  <cols>
    <col min="1" max="1" width="8.7109375" style="1"/>
    <col min="2" max="2" width="20.7109375" style="1" customWidth="1"/>
    <col min="3" max="3" width="54.140625" style="1" customWidth="1"/>
    <col min="4" max="4" width="20.140625" style="1" bestFit="1" customWidth="1"/>
    <col min="5" max="16384" width="8.7109375" style="1"/>
  </cols>
  <sheetData>
    <row r="2" spans="2:4" ht="20.45" customHeight="1">
      <c r="B2" s="470" t="s">
        <v>951</v>
      </c>
      <c r="C2" s="470"/>
      <c r="D2" s="470"/>
    </row>
    <row r="4" spans="2:4">
      <c r="B4" s="264" t="s">
        <v>952</v>
      </c>
      <c r="C4" s="264" t="s">
        <v>953</v>
      </c>
      <c r="D4" s="264" t="s">
        <v>954</v>
      </c>
    </row>
    <row r="5" spans="2:4">
      <c r="B5" s="469" t="s">
        <v>955</v>
      </c>
      <c r="C5" s="360" t="s">
        <v>956</v>
      </c>
      <c r="D5" s="358">
        <v>235</v>
      </c>
    </row>
    <row r="6" spans="2:4">
      <c r="B6" s="469"/>
      <c r="C6" s="264" t="s">
        <v>957</v>
      </c>
      <c r="D6" s="358">
        <v>295</v>
      </c>
    </row>
    <row r="7" spans="2:4">
      <c r="B7" s="469"/>
      <c r="C7" s="264" t="s">
        <v>958</v>
      </c>
      <c r="D7" s="358">
        <v>330</v>
      </c>
    </row>
    <row r="8" spans="2:4">
      <c r="B8" s="469"/>
      <c r="C8" s="264" t="s">
        <v>959</v>
      </c>
      <c r="D8" s="358">
        <v>390</v>
      </c>
    </row>
    <row r="9" spans="2:4">
      <c r="B9" s="469"/>
      <c r="C9" s="264" t="s">
        <v>960</v>
      </c>
      <c r="D9" s="358">
        <v>420</v>
      </c>
    </row>
    <row r="10" spans="2:4">
      <c r="B10" s="469"/>
      <c r="C10" s="264" t="s">
        <v>961</v>
      </c>
      <c r="D10" s="358">
        <v>485</v>
      </c>
    </row>
    <row r="11" spans="2:4">
      <c r="B11" s="469"/>
      <c r="C11" s="264" t="s">
        <v>962</v>
      </c>
      <c r="D11" s="358">
        <v>45</v>
      </c>
    </row>
    <row r="12" spans="2:4">
      <c r="B12" s="469"/>
      <c r="C12" s="264" t="s">
        <v>963</v>
      </c>
      <c r="D12" s="358">
        <v>65</v>
      </c>
    </row>
    <row r="13" spans="2:4">
      <c r="B13" s="359" t="s">
        <v>964</v>
      </c>
      <c r="C13" s="264" t="s">
        <v>965</v>
      </c>
      <c r="D13" s="358">
        <v>65</v>
      </c>
    </row>
    <row r="14" spans="2:4">
      <c r="B14" s="264" t="s">
        <v>966</v>
      </c>
      <c r="C14" s="264" t="s">
        <v>967</v>
      </c>
      <c r="D14" s="264" t="s">
        <v>968</v>
      </c>
    </row>
    <row r="15" spans="2:4">
      <c r="B15" s="264" t="s">
        <v>969</v>
      </c>
      <c r="C15" s="264" t="s">
        <v>970</v>
      </c>
      <c r="D15" s="264" t="s">
        <v>971</v>
      </c>
    </row>
    <row r="16" spans="2:4">
      <c r="B16" s="264" t="s">
        <v>972</v>
      </c>
      <c r="C16" s="264" t="s">
        <v>973</v>
      </c>
      <c r="D16" s="264" t="s">
        <v>974</v>
      </c>
    </row>
    <row r="18" spans="2:2">
      <c r="B18" s="1" t="s">
        <v>975</v>
      </c>
    </row>
    <row r="19" spans="2:2">
      <c r="B19" s="1" t="s">
        <v>976</v>
      </c>
    </row>
    <row r="20" spans="2:2">
      <c r="B20" s="1" t="s">
        <v>977</v>
      </c>
    </row>
    <row r="21" spans="2:2">
      <c r="B21" s="1" t="s">
        <v>978</v>
      </c>
    </row>
  </sheetData>
  <mergeCells count="2">
    <mergeCell ref="B5:B12"/>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F6C7-7DCB-4172-AA06-ACFC510A4EDF}">
  <dimension ref="B1:B57"/>
  <sheetViews>
    <sheetView workbookViewId="0">
      <selection activeCell="B50" sqref="B50"/>
    </sheetView>
  </sheetViews>
  <sheetFormatPr defaultRowHeight="15"/>
  <cols>
    <col min="2" max="2" width="48.140625" customWidth="1"/>
  </cols>
  <sheetData>
    <row r="1" spans="2:2">
      <c r="B1" s="53" t="s">
        <v>979</v>
      </c>
    </row>
    <row r="2" spans="2:2">
      <c r="B2" t="s">
        <v>980</v>
      </c>
    </row>
    <row r="3" spans="2:2">
      <c r="B3" t="s">
        <v>981</v>
      </c>
    </row>
    <row r="4" spans="2:2">
      <c r="B4" t="s">
        <v>982</v>
      </c>
    </row>
    <row r="5" spans="2:2">
      <c r="B5" t="s">
        <v>983</v>
      </c>
    </row>
    <row r="6" spans="2:2">
      <c r="B6" t="s">
        <v>984</v>
      </c>
    </row>
    <row r="7" spans="2:2">
      <c r="B7" t="s">
        <v>985</v>
      </c>
    </row>
    <row r="8" spans="2:2">
      <c r="B8" t="s">
        <v>986</v>
      </c>
    </row>
    <row r="9" spans="2:2">
      <c r="B9" t="s">
        <v>987</v>
      </c>
    </row>
    <row r="10" spans="2:2">
      <c r="B10" t="s">
        <v>988</v>
      </c>
    </row>
    <row r="11" spans="2:2">
      <c r="B11" t="s">
        <v>989</v>
      </c>
    </row>
    <row r="12" spans="2:2">
      <c r="B12" t="s">
        <v>990</v>
      </c>
    </row>
    <row r="13" spans="2:2">
      <c r="B13" t="s">
        <v>991</v>
      </c>
    </row>
    <row r="14" spans="2:2">
      <c r="B14" t="s">
        <v>992</v>
      </c>
    </row>
    <row r="15" spans="2:2">
      <c r="B15" t="s">
        <v>993</v>
      </c>
    </row>
    <row r="16" spans="2:2">
      <c r="B16" t="s">
        <v>994</v>
      </c>
    </row>
    <row r="17" spans="2:2">
      <c r="B17" t="s">
        <v>995</v>
      </c>
    </row>
    <row r="18" spans="2:2">
      <c r="B18" t="s">
        <v>996</v>
      </c>
    </row>
    <row r="19" spans="2:2">
      <c r="B19" t="s">
        <v>997</v>
      </c>
    </row>
    <row r="20" spans="2:2">
      <c r="B20" t="s">
        <v>998</v>
      </c>
    </row>
    <row r="21" spans="2:2">
      <c r="B21" t="s">
        <v>999</v>
      </c>
    </row>
    <row r="22" spans="2:2">
      <c r="B22" t="s">
        <v>1000</v>
      </c>
    </row>
    <row r="23" spans="2:2">
      <c r="B23" t="s">
        <v>1001</v>
      </c>
    </row>
    <row r="24" spans="2:2">
      <c r="B24" t="s">
        <v>1002</v>
      </c>
    </row>
    <row r="25" spans="2:2">
      <c r="B25" t="s">
        <v>1003</v>
      </c>
    </row>
    <row r="26" spans="2:2">
      <c r="B26" t="s">
        <v>1004</v>
      </c>
    </row>
    <row r="27" spans="2:2">
      <c r="B27" t="s">
        <v>1005</v>
      </c>
    </row>
    <row r="28" spans="2:2">
      <c r="B28" t="s">
        <v>1006</v>
      </c>
    </row>
    <row r="29" spans="2:2">
      <c r="B29" t="s">
        <v>1007</v>
      </c>
    </row>
    <row r="31" spans="2:2">
      <c r="B31" t="s">
        <v>1008</v>
      </c>
    </row>
    <row r="32" spans="2:2">
      <c r="B32" t="s">
        <v>1009</v>
      </c>
    </row>
    <row r="34" spans="2:2">
      <c r="B34" t="s">
        <v>1010</v>
      </c>
    </row>
    <row r="35" spans="2:2">
      <c r="B35" t="s">
        <v>1011</v>
      </c>
    </row>
    <row r="36" spans="2:2">
      <c r="B36" t="s">
        <v>1012</v>
      </c>
    </row>
    <row r="37" spans="2:2">
      <c r="B37" t="s">
        <v>1013</v>
      </c>
    </row>
    <row r="38" spans="2:2">
      <c r="B38" t="s">
        <v>1014</v>
      </c>
    </row>
    <row r="39" spans="2:2">
      <c r="B39" t="s">
        <v>1015</v>
      </c>
    </row>
    <row r="40" spans="2:2">
      <c r="B40" t="s">
        <v>1016</v>
      </c>
    </row>
    <row r="41" spans="2:2">
      <c r="B41" t="s">
        <v>1017</v>
      </c>
    </row>
    <row r="42" spans="2:2">
      <c r="B42" t="s">
        <v>1018</v>
      </c>
    </row>
    <row r="43" spans="2:2">
      <c r="B43" t="s">
        <v>1019</v>
      </c>
    </row>
    <row r="44" spans="2:2">
      <c r="B44" t="s">
        <v>1020</v>
      </c>
    </row>
    <row r="45" spans="2:2">
      <c r="B45" t="s">
        <v>1021</v>
      </c>
    </row>
    <row r="46" spans="2:2">
      <c r="B46" t="s">
        <v>1022</v>
      </c>
    </row>
    <row r="47" spans="2:2">
      <c r="B47" t="s">
        <v>1023</v>
      </c>
    </row>
    <row r="48" spans="2:2">
      <c r="B48" t="s">
        <v>1024</v>
      </c>
    </row>
    <row r="49" spans="2:2">
      <c r="B49" t="s">
        <v>1025</v>
      </c>
    </row>
    <row r="50" spans="2:2">
      <c r="B50" t="s">
        <v>1026</v>
      </c>
    </row>
    <row r="51" spans="2:2">
      <c r="B51" t="s">
        <v>1027</v>
      </c>
    </row>
    <row r="52" spans="2:2">
      <c r="B52" t="s">
        <v>1028</v>
      </c>
    </row>
    <row r="53" spans="2:2">
      <c r="B53" t="s">
        <v>1029</v>
      </c>
    </row>
    <row r="55" spans="2:2">
      <c r="B55" t="s">
        <v>1030</v>
      </c>
    </row>
    <row r="57" spans="2:2">
      <c r="B57" t="s">
        <v>1031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AC8BD-0C38-4CA6-8E7C-6D0EBD937EDC}">
  <sheetPr>
    <tabColor theme="1"/>
  </sheetPr>
  <dimension ref="A2:AA74"/>
  <sheetViews>
    <sheetView workbookViewId="0">
      <selection activeCell="D23" sqref="D23"/>
    </sheetView>
  </sheetViews>
  <sheetFormatPr defaultColWidth="9.140625" defaultRowHeight="15"/>
  <cols>
    <col min="1" max="1" width="9.140625" style="1"/>
    <col min="2" max="2" width="37.5703125" style="1" customWidth="1"/>
    <col min="3" max="3" width="21" style="1" customWidth="1"/>
    <col min="4" max="4" width="37.5703125" style="1" customWidth="1"/>
    <col min="5" max="5" width="17.85546875" style="1" customWidth="1"/>
    <col min="6" max="6" width="9.140625" style="26"/>
    <col min="7" max="8" width="11.7109375" style="1" customWidth="1"/>
    <col min="9" max="9" width="9.140625" style="1"/>
    <col min="10" max="10" width="16.140625" style="1" customWidth="1"/>
    <col min="11" max="16384" width="9.140625" style="1"/>
  </cols>
  <sheetData>
    <row r="2" spans="1:27" ht="21">
      <c r="B2" s="472" t="s">
        <v>1032</v>
      </c>
      <c r="C2" s="472"/>
      <c r="D2" s="472"/>
      <c r="E2" s="472"/>
      <c r="Z2" s="1" t="s">
        <v>12</v>
      </c>
      <c r="AA2" s="1" t="s">
        <v>97</v>
      </c>
    </row>
    <row r="3" spans="1:27">
      <c r="Z3" s="1" t="s">
        <v>17</v>
      </c>
      <c r="AA3" s="1" t="s">
        <v>89</v>
      </c>
    </row>
    <row r="4" spans="1:27">
      <c r="B4" s="471" t="s">
        <v>1033</v>
      </c>
      <c r="C4" s="471"/>
      <c r="D4" s="471"/>
      <c r="E4" s="471"/>
    </row>
    <row r="5" spans="1:27">
      <c r="B5" s="471"/>
      <c r="C5" s="471"/>
      <c r="D5" s="471"/>
      <c r="E5" s="471"/>
    </row>
    <row r="6" spans="1:27">
      <c r="B6" s="27"/>
      <c r="C6" s="27"/>
      <c r="D6" s="27"/>
      <c r="E6" s="27"/>
    </row>
    <row r="7" spans="1:27">
      <c r="C7" s="27" t="s">
        <v>1034</v>
      </c>
      <c r="D7" s="23" t="s">
        <v>177</v>
      </c>
      <c r="E7" s="27"/>
    </row>
    <row r="8" spans="1:27">
      <c r="C8" s="27" t="s">
        <v>1035</v>
      </c>
      <c r="D8" s="28">
        <f>VLOOKUP(D7,'QUOTE CALCULATOR'!AY:AZ,2,FALSE)</f>
        <v>0</v>
      </c>
      <c r="E8" s="27"/>
    </row>
    <row r="10" spans="1:27">
      <c r="B10" s="29" t="s">
        <v>1036</v>
      </c>
      <c r="C10" s="29" t="s">
        <v>1037</v>
      </c>
      <c r="D10" s="29" t="s">
        <v>1038</v>
      </c>
      <c r="E10" s="29" t="s">
        <v>1039</v>
      </c>
      <c r="G10" s="30" t="s">
        <v>1040</v>
      </c>
      <c r="H10" s="30" t="s">
        <v>1041</v>
      </c>
    </row>
    <row r="11" spans="1:27">
      <c r="A11" s="1">
        <v>1</v>
      </c>
      <c r="B11" s="24" t="s">
        <v>1042</v>
      </c>
      <c r="C11" s="24" t="s">
        <v>17</v>
      </c>
      <c r="D11" s="24" t="s">
        <v>97</v>
      </c>
      <c r="E11" s="25">
        <v>2475</v>
      </c>
      <c r="F11" s="26">
        <f>IF(OR(ISNUMBER(SEARCH("Labour",D11)),ISNUMBER(SEARCH("Materials",D11))),E11,"")</f>
        <v>2475</v>
      </c>
      <c r="G11" s="31">
        <f>((SUMIFS(E11, D11, "*labour*", C11, "*Hourly*"))*(1-$D$8))*30%</f>
        <v>0</v>
      </c>
      <c r="H11" s="31">
        <f>((SUMIFS(E11, D11, "*labour*", C11, "*Daily*"))*(1-$D$8))*20%</f>
        <v>495</v>
      </c>
    </row>
    <row r="12" spans="1:27">
      <c r="A12" s="1">
        <v>2</v>
      </c>
      <c r="B12" s="24"/>
      <c r="C12" s="24"/>
      <c r="D12" s="24"/>
      <c r="E12" s="25">
        <v>0</v>
      </c>
      <c r="F12" s="26" t="str">
        <f t="shared" ref="F12:F62" si="0">IF(OR(ISNUMBER(SEARCH("Labour",D12)),ISNUMBER(SEARCH("Materials",D12))),E12,"")</f>
        <v/>
      </c>
      <c r="G12" s="31">
        <f t="shared" ref="G12:G60" si="1">((SUMIFS(E12, D12, "*labour*", C12, "*Hourly*"))*(1-$D$8))*30%</f>
        <v>0</v>
      </c>
      <c r="H12" s="31">
        <f t="shared" ref="H12:H60" si="2">((SUMIFS(E12, D12, "*labour*", C12, "*Daily*"))*(1-$D$8))*20%</f>
        <v>0</v>
      </c>
    </row>
    <row r="13" spans="1:27">
      <c r="A13" s="1">
        <v>3</v>
      </c>
      <c r="B13" s="24"/>
      <c r="C13" s="24"/>
      <c r="D13" s="24"/>
      <c r="E13" s="25">
        <v>0</v>
      </c>
      <c r="F13" s="26" t="str">
        <f t="shared" si="0"/>
        <v/>
      </c>
      <c r="G13" s="31">
        <f t="shared" si="1"/>
        <v>0</v>
      </c>
      <c r="H13" s="31">
        <f t="shared" si="2"/>
        <v>0</v>
      </c>
    </row>
    <row r="14" spans="1:27">
      <c r="A14" s="1">
        <v>4</v>
      </c>
      <c r="B14" s="24"/>
      <c r="C14" s="24"/>
      <c r="D14" s="24"/>
      <c r="E14" s="25">
        <v>0</v>
      </c>
      <c r="F14" s="26" t="str">
        <f t="shared" si="0"/>
        <v/>
      </c>
      <c r="G14" s="31">
        <f t="shared" si="1"/>
        <v>0</v>
      </c>
      <c r="H14" s="31">
        <f t="shared" si="2"/>
        <v>0</v>
      </c>
    </row>
    <row r="15" spans="1:27">
      <c r="A15" s="1">
        <v>5</v>
      </c>
      <c r="B15" s="24"/>
      <c r="C15" s="24"/>
      <c r="D15" s="24"/>
      <c r="E15" s="25">
        <v>0</v>
      </c>
      <c r="F15" s="26" t="str">
        <f t="shared" si="0"/>
        <v/>
      </c>
      <c r="G15" s="31">
        <f t="shared" si="1"/>
        <v>0</v>
      </c>
      <c r="H15" s="31">
        <f t="shared" si="2"/>
        <v>0</v>
      </c>
    </row>
    <row r="16" spans="1:27">
      <c r="A16" s="1">
        <v>6</v>
      </c>
      <c r="B16" s="24"/>
      <c r="C16" s="24"/>
      <c r="D16" s="24"/>
      <c r="E16" s="25">
        <v>0</v>
      </c>
      <c r="F16" s="26" t="str">
        <f t="shared" si="0"/>
        <v/>
      </c>
      <c r="G16" s="31">
        <f t="shared" si="1"/>
        <v>0</v>
      </c>
      <c r="H16" s="31">
        <f t="shared" si="2"/>
        <v>0</v>
      </c>
    </row>
    <row r="17" spans="1:8">
      <c r="A17" s="1">
        <v>7</v>
      </c>
      <c r="B17" s="24"/>
      <c r="C17" s="24"/>
      <c r="D17" s="24"/>
      <c r="E17" s="25">
        <v>0</v>
      </c>
      <c r="F17" s="26" t="str">
        <f t="shared" si="0"/>
        <v/>
      </c>
      <c r="G17" s="31">
        <f t="shared" si="1"/>
        <v>0</v>
      </c>
      <c r="H17" s="31">
        <f t="shared" si="2"/>
        <v>0</v>
      </c>
    </row>
    <row r="18" spans="1:8">
      <c r="A18" s="1">
        <v>8</v>
      </c>
      <c r="B18" s="24"/>
      <c r="C18" s="24"/>
      <c r="D18" s="24"/>
      <c r="E18" s="25">
        <v>0</v>
      </c>
      <c r="F18" s="26" t="str">
        <f t="shared" si="0"/>
        <v/>
      </c>
      <c r="G18" s="31">
        <f t="shared" si="1"/>
        <v>0</v>
      </c>
      <c r="H18" s="31">
        <f t="shared" si="2"/>
        <v>0</v>
      </c>
    </row>
    <row r="19" spans="1:8">
      <c r="A19" s="1">
        <v>9</v>
      </c>
      <c r="B19" s="24"/>
      <c r="C19" s="24"/>
      <c r="D19" s="24"/>
      <c r="E19" s="25">
        <v>0</v>
      </c>
      <c r="F19" s="26" t="str">
        <f t="shared" si="0"/>
        <v/>
      </c>
      <c r="G19" s="31">
        <f t="shared" si="1"/>
        <v>0</v>
      </c>
      <c r="H19" s="31">
        <f t="shared" si="2"/>
        <v>0</v>
      </c>
    </row>
    <row r="20" spans="1:8">
      <c r="A20" s="1">
        <v>10</v>
      </c>
      <c r="B20" s="24"/>
      <c r="C20" s="24"/>
      <c r="D20" s="24"/>
      <c r="E20" s="25">
        <v>0</v>
      </c>
      <c r="F20" s="26" t="str">
        <f t="shared" si="0"/>
        <v/>
      </c>
      <c r="G20" s="31">
        <f t="shared" si="1"/>
        <v>0</v>
      </c>
      <c r="H20" s="31">
        <f t="shared" si="2"/>
        <v>0</v>
      </c>
    </row>
    <row r="21" spans="1:8">
      <c r="A21" s="1">
        <v>11</v>
      </c>
      <c r="B21" s="24"/>
      <c r="C21" s="24"/>
      <c r="D21" s="24"/>
      <c r="E21" s="25">
        <v>0</v>
      </c>
      <c r="F21" s="26" t="str">
        <f t="shared" si="0"/>
        <v/>
      </c>
      <c r="G21" s="31">
        <f t="shared" si="1"/>
        <v>0</v>
      </c>
      <c r="H21" s="31">
        <f t="shared" si="2"/>
        <v>0</v>
      </c>
    </row>
    <row r="22" spans="1:8">
      <c r="A22" s="1">
        <v>12</v>
      </c>
      <c r="B22" s="24"/>
      <c r="C22" s="24"/>
      <c r="D22" s="24"/>
      <c r="E22" s="25">
        <v>0</v>
      </c>
      <c r="F22" s="26" t="str">
        <f t="shared" si="0"/>
        <v/>
      </c>
      <c r="G22" s="31">
        <f t="shared" si="1"/>
        <v>0</v>
      </c>
      <c r="H22" s="31">
        <f t="shared" si="2"/>
        <v>0</v>
      </c>
    </row>
    <row r="23" spans="1:8">
      <c r="A23" s="1">
        <v>13</v>
      </c>
      <c r="B23" s="24"/>
      <c r="C23" s="24"/>
      <c r="D23" s="24"/>
      <c r="E23" s="25">
        <v>0</v>
      </c>
      <c r="F23" s="26" t="str">
        <f t="shared" si="0"/>
        <v/>
      </c>
      <c r="G23" s="31">
        <f t="shared" si="1"/>
        <v>0</v>
      </c>
      <c r="H23" s="31">
        <f t="shared" si="2"/>
        <v>0</v>
      </c>
    </row>
    <row r="24" spans="1:8">
      <c r="A24" s="1">
        <v>14</v>
      </c>
      <c r="B24" s="24"/>
      <c r="C24" s="24"/>
      <c r="D24" s="24"/>
      <c r="E24" s="25">
        <v>0</v>
      </c>
      <c r="F24" s="26" t="str">
        <f t="shared" si="0"/>
        <v/>
      </c>
      <c r="G24" s="31">
        <f t="shared" si="1"/>
        <v>0</v>
      </c>
      <c r="H24" s="31">
        <f t="shared" si="2"/>
        <v>0</v>
      </c>
    </row>
    <row r="25" spans="1:8">
      <c r="A25" s="1">
        <v>15</v>
      </c>
      <c r="B25" s="24"/>
      <c r="C25" s="24"/>
      <c r="D25" s="24"/>
      <c r="E25" s="25">
        <v>0</v>
      </c>
      <c r="F25" s="26" t="str">
        <f t="shared" si="0"/>
        <v/>
      </c>
      <c r="G25" s="31">
        <f t="shared" si="1"/>
        <v>0</v>
      </c>
      <c r="H25" s="31">
        <f t="shared" si="2"/>
        <v>0</v>
      </c>
    </row>
    <row r="26" spans="1:8">
      <c r="A26" s="1">
        <v>16</v>
      </c>
      <c r="B26" s="24"/>
      <c r="C26" s="24"/>
      <c r="D26" s="24"/>
      <c r="E26" s="25">
        <v>0</v>
      </c>
      <c r="F26" s="26" t="str">
        <f t="shared" si="0"/>
        <v/>
      </c>
      <c r="G26" s="31">
        <f t="shared" si="1"/>
        <v>0</v>
      </c>
      <c r="H26" s="31">
        <f t="shared" si="2"/>
        <v>0</v>
      </c>
    </row>
    <row r="27" spans="1:8">
      <c r="A27" s="1">
        <v>17</v>
      </c>
      <c r="B27" s="24"/>
      <c r="C27" s="24"/>
      <c r="D27" s="24"/>
      <c r="E27" s="25">
        <v>0</v>
      </c>
      <c r="F27" s="26" t="str">
        <f t="shared" si="0"/>
        <v/>
      </c>
      <c r="G27" s="31">
        <f t="shared" si="1"/>
        <v>0</v>
      </c>
      <c r="H27" s="31">
        <f t="shared" si="2"/>
        <v>0</v>
      </c>
    </row>
    <row r="28" spans="1:8" hidden="1">
      <c r="A28" s="1">
        <v>18</v>
      </c>
      <c r="B28" s="24"/>
      <c r="C28" s="24"/>
      <c r="D28" s="24"/>
      <c r="E28" s="25">
        <v>0</v>
      </c>
      <c r="F28" s="26" t="str">
        <f t="shared" si="0"/>
        <v/>
      </c>
      <c r="G28" s="31">
        <f t="shared" si="1"/>
        <v>0</v>
      </c>
      <c r="H28" s="31">
        <f t="shared" si="2"/>
        <v>0</v>
      </c>
    </row>
    <row r="29" spans="1:8" hidden="1">
      <c r="A29" s="1">
        <v>19</v>
      </c>
      <c r="B29" s="24"/>
      <c r="C29" s="24"/>
      <c r="D29" s="24"/>
      <c r="E29" s="25">
        <v>0</v>
      </c>
      <c r="F29" s="26" t="str">
        <f t="shared" si="0"/>
        <v/>
      </c>
      <c r="G29" s="31">
        <f t="shared" si="1"/>
        <v>0</v>
      </c>
      <c r="H29" s="31">
        <f t="shared" si="2"/>
        <v>0</v>
      </c>
    </row>
    <row r="30" spans="1:8" hidden="1">
      <c r="A30" s="1">
        <v>20</v>
      </c>
      <c r="B30" s="24"/>
      <c r="C30" s="24"/>
      <c r="D30" s="24"/>
      <c r="E30" s="25">
        <v>0</v>
      </c>
      <c r="F30" s="26" t="str">
        <f t="shared" si="0"/>
        <v/>
      </c>
      <c r="G30" s="31">
        <f t="shared" si="1"/>
        <v>0</v>
      </c>
      <c r="H30" s="31">
        <f t="shared" si="2"/>
        <v>0</v>
      </c>
    </row>
    <row r="31" spans="1:8" hidden="1">
      <c r="A31" s="1">
        <v>21</v>
      </c>
      <c r="B31" s="24"/>
      <c r="C31" s="24"/>
      <c r="D31" s="24"/>
      <c r="E31" s="25">
        <v>0</v>
      </c>
      <c r="F31" s="26" t="str">
        <f t="shared" si="0"/>
        <v/>
      </c>
      <c r="G31" s="31">
        <f t="shared" si="1"/>
        <v>0</v>
      </c>
      <c r="H31" s="31">
        <f t="shared" si="2"/>
        <v>0</v>
      </c>
    </row>
    <row r="32" spans="1:8" hidden="1">
      <c r="A32" s="1">
        <v>22</v>
      </c>
      <c r="B32" s="24"/>
      <c r="C32" s="24"/>
      <c r="D32" s="24"/>
      <c r="E32" s="25">
        <v>0</v>
      </c>
      <c r="F32" s="26" t="str">
        <f t="shared" si="0"/>
        <v/>
      </c>
      <c r="G32" s="31">
        <f t="shared" si="1"/>
        <v>0</v>
      </c>
      <c r="H32" s="31">
        <f t="shared" si="2"/>
        <v>0</v>
      </c>
    </row>
    <row r="33" spans="1:8" hidden="1">
      <c r="A33" s="1">
        <v>23</v>
      </c>
      <c r="B33" s="24"/>
      <c r="C33" s="24"/>
      <c r="D33" s="24"/>
      <c r="E33" s="25">
        <v>0</v>
      </c>
      <c r="F33" s="26" t="str">
        <f t="shared" si="0"/>
        <v/>
      </c>
      <c r="G33" s="31">
        <f t="shared" si="1"/>
        <v>0</v>
      </c>
      <c r="H33" s="31">
        <f t="shared" si="2"/>
        <v>0</v>
      </c>
    </row>
    <row r="34" spans="1:8" hidden="1">
      <c r="A34" s="1">
        <v>24</v>
      </c>
      <c r="B34" s="24"/>
      <c r="C34" s="24"/>
      <c r="D34" s="24"/>
      <c r="E34" s="25">
        <v>0</v>
      </c>
      <c r="F34" s="26" t="str">
        <f t="shared" si="0"/>
        <v/>
      </c>
      <c r="G34" s="31">
        <f t="shared" si="1"/>
        <v>0</v>
      </c>
      <c r="H34" s="31">
        <f t="shared" si="2"/>
        <v>0</v>
      </c>
    </row>
    <row r="35" spans="1:8" hidden="1">
      <c r="A35" s="1">
        <v>25</v>
      </c>
      <c r="B35" s="24"/>
      <c r="C35" s="24"/>
      <c r="D35" s="24"/>
      <c r="E35" s="25">
        <v>0</v>
      </c>
      <c r="F35" s="26" t="str">
        <f t="shared" si="0"/>
        <v/>
      </c>
      <c r="G35" s="31">
        <f t="shared" si="1"/>
        <v>0</v>
      </c>
      <c r="H35" s="31">
        <f t="shared" si="2"/>
        <v>0</v>
      </c>
    </row>
    <row r="36" spans="1:8" hidden="1">
      <c r="A36" s="1">
        <v>26</v>
      </c>
      <c r="B36" s="24"/>
      <c r="C36" s="24"/>
      <c r="D36" s="24"/>
      <c r="E36" s="25">
        <v>0</v>
      </c>
      <c r="F36" s="26" t="str">
        <f t="shared" si="0"/>
        <v/>
      </c>
      <c r="G36" s="31">
        <f t="shared" si="1"/>
        <v>0</v>
      </c>
      <c r="H36" s="31">
        <f t="shared" si="2"/>
        <v>0</v>
      </c>
    </row>
    <row r="37" spans="1:8" hidden="1">
      <c r="A37" s="1">
        <v>27</v>
      </c>
      <c r="B37" s="24"/>
      <c r="C37" s="24"/>
      <c r="D37" s="24"/>
      <c r="E37" s="25">
        <v>0</v>
      </c>
      <c r="F37" s="26" t="str">
        <f t="shared" si="0"/>
        <v/>
      </c>
      <c r="G37" s="31">
        <f t="shared" si="1"/>
        <v>0</v>
      </c>
      <c r="H37" s="31">
        <f t="shared" si="2"/>
        <v>0</v>
      </c>
    </row>
    <row r="38" spans="1:8" hidden="1">
      <c r="A38" s="1">
        <v>28</v>
      </c>
      <c r="B38" s="24"/>
      <c r="C38" s="24"/>
      <c r="D38" s="24"/>
      <c r="E38" s="25">
        <v>0</v>
      </c>
      <c r="F38" s="26" t="str">
        <f t="shared" si="0"/>
        <v/>
      </c>
      <c r="G38" s="31">
        <f t="shared" si="1"/>
        <v>0</v>
      </c>
      <c r="H38" s="31">
        <f t="shared" si="2"/>
        <v>0</v>
      </c>
    </row>
    <row r="39" spans="1:8" hidden="1">
      <c r="A39" s="1">
        <v>29</v>
      </c>
      <c r="B39" s="24"/>
      <c r="C39" s="24"/>
      <c r="D39" s="24"/>
      <c r="E39" s="25">
        <v>0</v>
      </c>
      <c r="F39" s="26" t="str">
        <f t="shared" si="0"/>
        <v/>
      </c>
      <c r="G39" s="31">
        <f t="shared" si="1"/>
        <v>0</v>
      </c>
      <c r="H39" s="31">
        <f t="shared" si="2"/>
        <v>0</v>
      </c>
    </row>
    <row r="40" spans="1:8" hidden="1">
      <c r="A40" s="1">
        <v>30</v>
      </c>
      <c r="B40" s="24"/>
      <c r="C40" s="24"/>
      <c r="D40" s="24"/>
      <c r="E40" s="25">
        <v>0</v>
      </c>
      <c r="F40" s="26" t="str">
        <f t="shared" si="0"/>
        <v/>
      </c>
      <c r="G40" s="31">
        <f t="shared" si="1"/>
        <v>0</v>
      </c>
      <c r="H40" s="31">
        <f t="shared" si="2"/>
        <v>0</v>
      </c>
    </row>
    <row r="41" spans="1:8" hidden="1">
      <c r="A41" s="1">
        <v>31</v>
      </c>
      <c r="B41" s="24"/>
      <c r="C41" s="24"/>
      <c r="D41" s="24"/>
      <c r="E41" s="25">
        <v>0</v>
      </c>
      <c r="F41" s="26" t="str">
        <f t="shared" si="0"/>
        <v/>
      </c>
      <c r="G41" s="31">
        <f t="shared" si="1"/>
        <v>0</v>
      </c>
      <c r="H41" s="31">
        <f t="shared" si="2"/>
        <v>0</v>
      </c>
    </row>
    <row r="42" spans="1:8" hidden="1">
      <c r="A42" s="1">
        <v>32</v>
      </c>
      <c r="B42" s="24"/>
      <c r="C42" s="24"/>
      <c r="D42" s="24"/>
      <c r="E42" s="25">
        <v>0</v>
      </c>
      <c r="F42" s="26" t="str">
        <f t="shared" si="0"/>
        <v/>
      </c>
      <c r="G42" s="31">
        <f t="shared" si="1"/>
        <v>0</v>
      </c>
      <c r="H42" s="31">
        <f t="shared" si="2"/>
        <v>0</v>
      </c>
    </row>
    <row r="43" spans="1:8" hidden="1">
      <c r="A43" s="1">
        <v>33</v>
      </c>
      <c r="B43" s="24"/>
      <c r="C43" s="24"/>
      <c r="D43" s="24"/>
      <c r="E43" s="25">
        <v>0</v>
      </c>
      <c r="F43" s="26" t="str">
        <f t="shared" si="0"/>
        <v/>
      </c>
      <c r="G43" s="31">
        <f t="shared" si="1"/>
        <v>0</v>
      </c>
      <c r="H43" s="31">
        <f t="shared" si="2"/>
        <v>0</v>
      </c>
    </row>
    <row r="44" spans="1:8" hidden="1">
      <c r="A44" s="1">
        <v>34</v>
      </c>
      <c r="B44" s="24"/>
      <c r="C44" s="24"/>
      <c r="D44" s="24"/>
      <c r="E44" s="25">
        <v>0</v>
      </c>
      <c r="F44" s="26" t="str">
        <f t="shared" si="0"/>
        <v/>
      </c>
      <c r="G44" s="31">
        <f t="shared" si="1"/>
        <v>0</v>
      </c>
      <c r="H44" s="31">
        <f t="shared" si="2"/>
        <v>0</v>
      </c>
    </row>
    <row r="45" spans="1:8" hidden="1">
      <c r="A45" s="1">
        <v>35</v>
      </c>
      <c r="B45" s="24"/>
      <c r="C45" s="24"/>
      <c r="D45" s="24"/>
      <c r="E45" s="25">
        <v>0</v>
      </c>
      <c r="F45" s="26" t="str">
        <f t="shared" si="0"/>
        <v/>
      </c>
      <c r="G45" s="31">
        <f t="shared" si="1"/>
        <v>0</v>
      </c>
      <c r="H45" s="31">
        <f t="shared" si="2"/>
        <v>0</v>
      </c>
    </row>
    <row r="46" spans="1:8" hidden="1">
      <c r="A46" s="1">
        <v>36</v>
      </c>
      <c r="B46" s="24"/>
      <c r="C46" s="24"/>
      <c r="D46" s="24"/>
      <c r="E46" s="25">
        <v>0</v>
      </c>
      <c r="F46" s="26" t="str">
        <f t="shared" si="0"/>
        <v/>
      </c>
      <c r="G46" s="31">
        <f t="shared" si="1"/>
        <v>0</v>
      </c>
      <c r="H46" s="31">
        <f t="shared" si="2"/>
        <v>0</v>
      </c>
    </row>
    <row r="47" spans="1:8" hidden="1">
      <c r="A47" s="1">
        <v>37</v>
      </c>
      <c r="B47" s="24"/>
      <c r="C47" s="24"/>
      <c r="D47" s="24"/>
      <c r="E47" s="25">
        <v>0</v>
      </c>
      <c r="F47" s="26" t="str">
        <f t="shared" si="0"/>
        <v/>
      </c>
      <c r="G47" s="31">
        <f t="shared" si="1"/>
        <v>0</v>
      </c>
      <c r="H47" s="31">
        <f t="shared" si="2"/>
        <v>0</v>
      </c>
    </row>
    <row r="48" spans="1:8" hidden="1">
      <c r="A48" s="1">
        <v>38</v>
      </c>
      <c r="B48" s="24"/>
      <c r="C48" s="24"/>
      <c r="D48" s="24"/>
      <c r="E48" s="25">
        <v>0</v>
      </c>
      <c r="F48" s="26" t="str">
        <f t="shared" si="0"/>
        <v/>
      </c>
      <c r="G48" s="31">
        <f t="shared" si="1"/>
        <v>0</v>
      </c>
      <c r="H48" s="31">
        <f t="shared" si="2"/>
        <v>0</v>
      </c>
    </row>
    <row r="49" spans="1:8" hidden="1">
      <c r="A49" s="1">
        <v>39</v>
      </c>
      <c r="B49" s="24"/>
      <c r="C49" s="24"/>
      <c r="D49" s="24"/>
      <c r="E49" s="25">
        <v>0</v>
      </c>
      <c r="F49" s="26" t="str">
        <f t="shared" si="0"/>
        <v/>
      </c>
      <c r="G49" s="31">
        <f t="shared" si="1"/>
        <v>0</v>
      </c>
      <c r="H49" s="31">
        <f t="shared" si="2"/>
        <v>0</v>
      </c>
    </row>
    <row r="50" spans="1:8" hidden="1">
      <c r="A50" s="1">
        <v>40</v>
      </c>
      <c r="B50" s="24"/>
      <c r="C50" s="24"/>
      <c r="D50" s="24"/>
      <c r="E50" s="25">
        <v>0</v>
      </c>
      <c r="F50" s="26" t="str">
        <f t="shared" si="0"/>
        <v/>
      </c>
      <c r="G50" s="31">
        <f t="shared" si="1"/>
        <v>0</v>
      </c>
      <c r="H50" s="31">
        <f t="shared" si="2"/>
        <v>0</v>
      </c>
    </row>
    <row r="51" spans="1:8" hidden="1">
      <c r="A51" s="1">
        <v>41</v>
      </c>
      <c r="B51" s="24"/>
      <c r="C51" s="24"/>
      <c r="D51" s="24"/>
      <c r="E51" s="25">
        <v>0</v>
      </c>
      <c r="F51" s="26" t="str">
        <f t="shared" si="0"/>
        <v/>
      </c>
      <c r="G51" s="31">
        <f t="shared" si="1"/>
        <v>0</v>
      </c>
      <c r="H51" s="31">
        <f t="shared" si="2"/>
        <v>0</v>
      </c>
    </row>
    <row r="52" spans="1:8" hidden="1">
      <c r="A52" s="1">
        <v>42</v>
      </c>
      <c r="B52" s="24"/>
      <c r="C52" s="24"/>
      <c r="D52" s="24"/>
      <c r="E52" s="25">
        <v>0</v>
      </c>
      <c r="F52" s="26" t="str">
        <f t="shared" si="0"/>
        <v/>
      </c>
      <c r="G52" s="31">
        <f t="shared" si="1"/>
        <v>0</v>
      </c>
      <c r="H52" s="31">
        <f t="shared" si="2"/>
        <v>0</v>
      </c>
    </row>
    <row r="53" spans="1:8" hidden="1">
      <c r="A53" s="1">
        <v>43</v>
      </c>
      <c r="B53" s="24"/>
      <c r="C53" s="24"/>
      <c r="D53" s="24"/>
      <c r="E53" s="25">
        <v>0</v>
      </c>
      <c r="F53" s="26" t="str">
        <f t="shared" si="0"/>
        <v/>
      </c>
      <c r="G53" s="31">
        <f t="shared" si="1"/>
        <v>0</v>
      </c>
      <c r="H53" s="31">
        <f t="shared" si="2"/>
        <v>0</v>
      </c>
    </row>
    <row r="54" spans="1:8" hidden="1">
      <c r="A54" s="1">
        <v>44</v>
      </c>
      <c r="B54" s="24"/>
      <c r="C54" s="24"/>
      <c r="D54" s="24"/>
      <c r="E54" s="25">
        <v>0</v>
      </c>
      <c r="F54" s="26" t="str">
        <f t="shared" si="0"/>
        <v/>
      </c>
      <c r="G54" s="31">
        <f t="shared" si="1"/>
        <v>0</v>
      </c>
      <c r="H54" s="31">
        <f t="shared" si="2"/>
        <v>0</v>
      </c>
    </row>
    <row r="55" spans="1:8" hidden="1">
      <c r="A55" s="1">
        <v>45</v>
      </c>
      <c r="B55" s="24"/>
      <c r="C55" s="24"/>
      <c r="D55" s="24"/>
      <c r="E55" s="25">
        <v>0</v>
      </c>
      <c r="F55" s="26" t="str">
        <f t="shared" si="0"/>
        <v/>
      </c>
      <c r="G55" s="31">
        <f t="shared" si="1"/>
        <v>0</v>
      </c>
      <c r="H55" s="31">
        <f t="shared" si="2"/>
        <v>0</v>
      </c>
    </row>
    <row r="56" spans="1:8" hidden="1">
      <c r="A56" s="1">
        <v>46</v>
      </c>
      <c r="B56" s="24"/>
      <c r="C56" s="24"/>
      <c r="D56" s="24"/>
      <c r="E56" s="25">
        <v>0</v>
      </c>
      <c r="F56" s="26" t="str">
        <f t="shared" si="0"/>
        <v/>
      </c>
      <c r="G56" s="31">
        <f t="shared" si="1"/>
        <v>0</v>
      </c>
      <c r="H56" s="31">
        <f t="shared" si="2"/>
        <v>0</v>
      </c>
    </row>
    <row r="57" spans="1:8" hidden="1">
      <c r="A57" s="1">
        <v>47</v>
      </c>
      <c r="B57" s="24"/>
      <c r="C57" s="24"/>
      <c r="D57" s="24"/>
      <c r="E57" s="25">
        <v>0</v>
      </c>
      <c r="F57" s="26" t="str">
        <f t="shared" si="0"/>
        <v/>
      </c>
      <c r="G57" s="31">
        <f t="shared" si="1"/>
        <v>0</v>
      </c>
      <c r="H57" s="31">
        <f t="shared" si="2"/>
        <v>0</v>
      </c>
    </row>
    <row r="58" spans="1:8" hidden="1">
      <c r="A58" s="1">
        <v>48</v>
      </c>
      <c r="B58" s="24"/>
      <c r="C58" s="24"/>
      <c r="D58" s="24"/>
      <c r="E58" s="25">
        <v>0</v>
      </c>
      <c r="F58" s="26" t="str">
        <f t="shared" si="0"/>
        <v/>
      </c>
      <c r="G58" s="31">
        <f t="shared" si="1"/>
        <v>0</v>
      </c>
      <c r="H58" s="31">
        <f t="shared" si="2"/>
        <v>0</v>
      </c>
    </row>
    <row r="59" spans="1:8">
      <c r="A59" s="1">
        <v>49</v>
      </c>
      <c r="B59" s="24"/>
      <c r="C59" s="24"/>
      <c r="D59" s="24"/>
      <c r="E59" s="25">
        <v>0</v>
      </c>
      <c r="F59" s="26" t="str">
        <f t="shared" si="0"/>
        <v/>
      </c>
      <c r="G59" s="31">
        <f t="shared" si="1"/>
        <v>0</v>
      </c>
      <c r="H59" s="31">
        <f t="shared" si="2"/>
        <v>0</v>
      </c>
    </row>
    <row r="60" spans="1:8">
      <c r="A60" s="1">
        <v>50</v>
      </c>
      <c r="B60" s="24"/>
      <c r="C60" s="24"/>
      <c r="D60" s="24"/>
      <c r="E60" s="25">
        <v>0</v>
      </c>
      <c r="F60" s="26" t="str">
        <f t="shared" si="0"/>
        <v/>
      </c>
      <c r="G60" s="31">
        <f t="shared" si="1"/>
        <v>0</v>
      </c>
      <c r="H60" s="31">
        <f t="shared" si="2"/>
        <v>0</v>
      </c>
    </row>
    <row r="61" spans="1:8" ht="15.75" thickBot="1">
      <c r="B61" s="32"/>
      <c r="C61" s="32"/>
      <c r="D61" s="33" t="s">
        <v>1043</v>
      </c>
      <c r="E61" s="34">
        <f>SUM(E11:E60)</f>
        <v>2475</v>
      </c>
      <c r="F61" s="26">
        <f>SUM(F11:F60)</f>
        <v>2475</v>
      </c>
      <c r="G61" s="31">
        <f>SUM(G11:G60)</f>
        <v>0</v>
      </c>
      <c r="H61" s="31">
        <f>SUM(H11:H60)</f>
        <v>495</v>
      </c>
    </row>
    <row r="62" spans="1:8" ht="15.75" thickTop="1">
      <c r="E62" s="35">
        <f>E61-F61</f>
        <v>0</v>
      </c>
      <c r="F62" s="26" t="str">
        <f t="shared" si="0"/>
        <v/>
      </c>
    </row>
    <row r="63" spans="1:8">
      <c r="E63" s="36" t="str">
        <f>IF(E62&lt;&gt;0,"!! ERROR - Check the data you have entered is correct !!","")</f>
        <v/>
      </c>
    </row>
    <row r="65" spans="3:11">
      <c r="D65" s="1" t="s">
        <v>1044</v>
      </c>
      <c r="E65" s="31">
        <f>E61*D8</f>
        <v>0</v>
      </c>
      <c r="G65" s="40"/>
      <c r="H65" s="41"/>
      <c r="I65" s="41"/>
      <c r="J65" s="41"/>
      <c r="K65" s="42"/>
    </row>
    <row r="66" spans="3:11">
      <c r="D66" s="1" t="s">
        <v>1045</v>
      </c>
      <c r="E66" s="31">
        <f>(G61+H61)</f>
        <v>495</v>
      </c>
      <c r="F66" s="35"/>
      <c r="G66" s="43"/>
      <c r="K66" s="44"/>
    </row>
    <row r="67" spans="3:11" ht="17.25">
      <c r="G67" s="43"/>
      <c r="H67" s="49" t="s">
        <v>1046</v>
      </c>
      <c r="K67" s="44"/>
    </row>
    <row r="68" spans="3:11">
      <c r="C68" s="32"/>
      <c r="D68" s="32" t="s">
        <v>97</v>
      </c>
      <c r="E68" s="25">
        <v>0</v>
      </c>
      <c r="G68" s="43"/>
      <c r="K68" s="44"/>
    </row>
    <row r="69" spans="3:11">
      <c r="D69" s="32" t="s">
        <v>89</v>
      </c>
      <c r="E69" s="25">
        <v>0</v>
      </c>
      <c r="G69" s="43"/>
      <c r="H69" s="1" t="s">
        <v>97</v>
      </c>
      <c r="J69" s="31">
        <f>E68</f>
        <v>0</v>
      </c>
      <c r="K69" s="44"/>
    </row>
    <row r="70" spans="3:11">
      <c r="G70" s="43"/>
      <c r="H70" s="1" t="s">
        <v>89</v>
      </c>
      <c r="J70" s="31">
        <f>E69</f>
        <v>0</v>
      </c>
      <c r="K70" s="44"/>
    </row>
    <row r="71" spans="3:11">
      <c r="D71" s="1" t="s">
        <v>1047</v>
      </c>
      <c r="E71" s="31">
        <f>SUM(E65:E69)</f>
        <v>495</v>
      </c>
      <c r="G71" s="43"/>
      <c r="H71" s="7" t="s">
        <v>1048</v>
      </c>
      <c r="I71" s="7"/>
      <c r="J71" s="48">
        <f>J69*20%</f>
        <v>0</v>
      </c>
      <c r="K71" s="44"/>
    </row>
    <row r="72" spans="3:11" ht="15.75" thickBot="1">
      <c r="G72" s="43"/>
      <c r="I72" s="50" t="s">
        <v>1043</v>
      </c>
      <c r="J72" s="51">
        <f>J69+J70-J71</f>
        <v>0</v>
      </c>
      <c r="K72" s="44"/>
    </row>
    <row r="73" spans="3:11" ht="18" thickTop="1">
      <c r="D73" s="37" t="s">
        <v>164</v>
      </c>
      <c r="E73" s="38">
        <f>E61-E71</f>
        <v>1980</v>
      </c>
      <c r="G73" s="43"/>
      <c r="K73" s="44"/>
    </row>
    <row r="74" spans="3:11" ht="17.25">
      <c r="D74" s="37" t="s">
        <v>1049</v>
      </c>
      <c r="E74" s="39">
        <f>E73/E61</f>
        <v>0.8</v>
      </c>
      <c r="G74" s="45"/>
      <c r="H74" s="46"/>
      <c r="I74" s="46"/>
      <c r="J74" s="46"/>
      <c r="K74" s="47"/>
    </row>
  </sheetData>
  <mergeCells count="2">
    <mergeCell ref="B4:E5"/>
    <mergeCell ref="B2:E2"/>
  </mergeCells>
  <dataValidations count="2">
    <dataValidation type="list" allowBlank="1" showInputMessage="1" showErrorMessage="1" sqref="D11:D60" xr:uid="{EB24AD17-1BCD-45A2-BD71-9D606C12B108}">
      <formula1>$AA$1:$AA$4</formula1>
    </dataValidation>
    <dataValidation type="list" allowBlank="1" showInputMessage="1" showErrorMessage="1" sqref="C11:C60" xr:uid="{D4CACDA3-6179-4E8C-B42D-55B9B21DCFAD}">
      <formula1>$Z$1:$Z$4</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6F2C1FF-D492-4CA8-A15D-6ECCF0AD0564}">
          <x14:formula1>
            <xm:f>'QUOTE CALCULATOR'!$AY$1:$AY$97</xm:f>
          </x14:formula1>
          <xm:sqref>D7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578af1-223f-4dac-9238-ad8b4998e961" xsi:nil="true"/>
    <lcf76f155ced4ddcb4097134ff3c332f xmlns="a59eae97-d559-4c1a-8e10-ec4ec7a33f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070936BC3794458EF0E900099913E6" ma:contentTypeVersion="10" ma:contentTypeDescription="Create a new document." ma:contentTypeScope="" ma:versionID="a61e891737e64bdc86a7c345d11f0003">
  <xsd:schema xmlns:xsd="http://www.w3.org/2001/XMLSchema" xmlns:xs="http://www.w3.org/2001/XMLSchema" xmlns:p="http://schemas.microsoft.com/office/2006/metadata/properties" xmlns:ns2="a59eae97-d559-4c1a-8e10-ec4ec7a33f2d" xmlns:ns3="5f578af1-223f-4dac-9238-ad8b4998e961" targetNamespace="http://schemas.microsoft.com/office/2006/metadata/properties" ma:root="true" ma:fieldsID="6a3e07ce9f91b0986532c24593db2bdf" ns2:_="" ns3:_="">
    <xsd:import namespace="a59eae97-d559-4c1a-8e10-ec4ec7a33f2d"/>
    <xsd:import namespace="5f578af1-223f-4dac-9238-ad8b4998e9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9eae97-d559-4c1a-8e10-ec4ec7a33f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0e89034-54e9-49e3-b82f-7c6c7c28c7a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578af1-223f-4dac-9238-ad8b4998e96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dbd888-638b-4da7-9b44-5af290624fd5}" ma:internalName="TaxCatchAll" ma:showField="CatchAllData" ma:web="5f578af1-223f-4dac-9238-ad8b4998e9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AE2208-53D3-45CD-BB4F-A650B3609482}"/>
</file>

<file path=customXml/itemProps2.xml><?xml version="1.0" encoding="utf-8"?>
<ds:datastoreItem xmlns:ds="http://schemas.openxmlformats.org/officeDocument/2006/customXml" ds:itemID="{C7BC2139-74D2-47DE-B8E4-5FD027C42060}"/>
</file>

<file path=customXml/itemProps3.xml><?xml version="1.0" encoding="utf-8"?>
<ds:datastoreItem xmlns:ds="http://schemas.openxmlformats.org/officeDocument/2006/customXml" ds:itemID="{EAD7185A-C89B-456E-BB81-E406D3B9C4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TXR Building and Maintenance</dc:creator>
  <cp:keywords/>
  <dc:description/>
  <cp:lastModifiedBy>George Lambert</cp:lastModifiedBy>
  <cp:revision/>
  <dcterms:created xsi:type="dcterms:W3CDTF">2017-12-12T12:07:12Z</dcterms:created>
  <dcterms:modified xsi:type="dcterms:W3CDTF">2026-05-21T15:16:14Z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0x010100C5070936BC3794458EF0E900099913E6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SharedWithUsers">
    <vt:lpwstr>184;#Levi Allen</vt:lpwstr>
  </property>
</Properties>
</file>